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GENERALI" sheetId="1" r:id="rId5"/>
    <sheet state="visible" name="1.Opportunità" sheetId="2" r:id="rId6"/>
    <sheet state="visible" name="2.Cambiamento" sheetId="3" r:id="rId7"/>
    <sheet state="visible" name="3.Relazioni" sheetId="4" r:id="rId8"/>
    <sheet state="visible" name="4.Celebrazioni" sheetId="5" r:id="rId9"/>
    <sheet state="visible" name="5.Problemi" sheetId="6" r:id="rId10"/>
  </sheets>
  <definedNames/>
  <calcPr/>
</workbook>
</file>

<file path=xl/sharedStrings.xml><?xml version="1.0" encoding="utf-8"?>
<sst xmlns="http://schemas.openxmlformats.org/spreadsheetml/2006/main" count="655" uniqueCount="428">
  <si>
    <t>MATERIALE MULTIMEDIALE</t>
  </si>
  <si>
    <t>CATEGORIA</t>
  </si>
  <si>
    <t>FOTO</t>
  </si>
  <si>
    <t>VIDEO</t>
  </si>
  <si>
    <t>AUDIO</t>
  </si>
  <si>
    <t>SOLO TESTO</t>
  </si>
  <si>
    <t>OPPORTUNITÀ</t>
  </si>
  <si>
    <t>CAMBIAMENTO</t>
  </si>
  <si>
    <t>RELAZIONI</t>
  </si>
  <si>
    <t>CELEBRAZIONI</t>
  </si>
  <si>
    <t>PROBLEMI</t>
  </si>
  <si>
    <t>TIPI DI INTERVISTE</t>
  </si>
  <si>
    <t>INVERVISTA DAL VIVO</t>
  </si>
  <si>
    <t>VIDEOCHIAMATA</t>
  </si>
  <si>
    <t>VOLONTARIO YORI</t>
  </si>
  <si>
    <t>DORMITORIO YORI</t>
  </si>
  <si>
    <t>SONDAGGIO</t>
  </si>
  <si>
    <t>RISPOSTA BREVE AL SONDAGGIO</t>
  </si>
  <si>
    <t>TOTALE</t>
  </si>
  <si>
    <t>ID</t>
  </si>
  <si>
    <t>TIPO FILE</t>
  </si>
  <si>
    <t>NOME PERSONA</t>
  </si>
  <si>
    <t>PROFESSIONE</t>
  </si>
  <si>
    <t>LUOGO INTERVISTA</t>
  </si>
  <si>
    <t>SINTESI</t>
  </si>
  <si>
    <t>TESTO</t>
  </si>
  <si>
    <t>POST INSTAGRAM</t>
  </si>
  <si>
    <t>1.1</t>
  </si>
  <si>
    <t>2 Foto
Audio</t>
  </si>
  <si>
    <t>OPPORTUNITA’</t>
  </si>
  <si>
    <t>Gianluca - Arancin Cannoli e Granite</t>
  </si>
  <si>
    <t>Lavoratore</t>
  </si>
  <si>
    <t>Navigli</t>
  </si>
  <si>
    <t>Le Olimpiadi non sono solo il momento dell’evento, ma tutto quello che ne consegue</t>
  </si>
  <si>
    <t>L’intervista con Gianluca evidenzia un impatto fortemente positivo delle Olimpiadi sul settore locale, in particolare sul turismo e sulle attività commerciali.
Si registra un aumento significativo e costante di clienti internazionali, con una forte presenza di visitatori provenienti da diversi paesi, che hanno vissuto il luogo non solo come servizio, ma come esperienza.
Il locale diventa uno spazio di incontro e interazione spontanea tra turisti e cittadini, favorendo dinamiche di socialità e condivisione.
A differenza di altre interviste, non emergono criticità rilevanti, ma piuttosto una visione ottimista legata alla continuità del flusso turistico anche dopo l’evento.</t>
  </si>
  <si>
    <r>
      <rPr>
        <color rgb="FF1155CC"/>
        <sz val="12.0"/>
        <u/>
      </rPr>
      <t>https://www.instagram.com/reel/DUlfeXJjPI6/?igsh=bjhnM3lhNWk1aDg4</t>
    </r>
    <r>
      <rPr>
        <color rgb="FF000000"/>
        <sz val="12.0"/>
      </rPr>
      <t xml:space="preserve"> sogni che si avverano
</t>
    </r>
    <r>
      <rPr>
        <color rgb="FF1155CC"/>
        <sz val="12.0"/>
        <u/>
      </rPr>
      <t>https://www.instagram.com/p/DU2vvAfDCsR/</t>
    </r>
    <r>
      <rPr>
        <color rgb="FF000000"/>
        <sz val="12.0"/>
      </rPr>
      <t xml:space="preserve"> studenti 
</t>
    </r>
    <r>
      <rPr>
        <color rgb="FF1155CC"/>
        <sz val="12.0"/>
        <u/>
      </rPr>
      <t>https://www.instagram.com/p/DRR7sHziOlm/</t>
    </r>
    <r>
      <rPr>
        <color rgb="FF000000"/>
        <sz val="12.0"/>
      </rPr>
      <t xml:space="preserve"> questo ha fatto un murales-- check this out, progetto molto figo
</t>
    </r>
    <r>
      <rPr>
        <color rgb="FF1155CC"/>
        <sz val="12.0"/>
        <u/>
      </rPr>
      <t>https://www.instagram.com/p/DR1qIBUDGgo/?img_index=1</t>
    </r>
    <r>
      <rPr>
        <color rgb="FF000000"/>
        <sz val="12.0"/>
      </rPr>
      <t xml:space="preserve"> tipo che fa murales pt2
</t>
    </r>
    <r>
      <rPr>
        <color rgb="FF1155CC"/>
        <sz val="12.0"/>
        <u/>
      </rPr>
      <t>https://www.instagram.com/p/DVEQ8LKDAmb/</t>
    </r>
    <r>
      <rPr>
        <color rgb="FF000000"/>
        <sz val="12.0"/>
      </rPr>
      <t xml:space="preserve"> altra volontaria yeee - opportunità ha scritto tesi su olimpiadi
</t>
    </r>
    <r>
      <rPr>
        <color rgb="FF1155CC"/>
        <sz val="12.0"/>
        <u/>
      </rPr>
      <t>https://www.instagram.com/p/DTdwQOfjDbP/</t>
    </r>
    <r>
      <rPr>
        <color rgb="FF000000"/>
        <sz val="12.0"/>
      </rPr>
      <t xml:space="preserve"> teodoforo
</t>
    </r>
    <r>
      <rPr>
        <color rgb="FF1155CC"/>
        <sz val="12.0"/>
        <u/>
      </rPr>
      <t>https://www.instagram.com/p/DVGiAP_DbcO/</t>
    </r>
    <r>
      <rPr>
        <color rgb="FF000000"/>
        <sz val="12.0"/>
      </rPr>
      <t xml:space="preserve"> questo atelier ha fatto dei costumi</t>
    </r>
  </si>
  <si>
    <r>
      <rPr>
        <rFont val="&quot;Helvetica Neue&quot;"/>
        <b/>
        <color rgb="FF000000"/>
        <sz val="11.0"/>
      </rPr>
      <t xml:space="preserve">POST INSTAGRAM
</t>
    </r>
    <r>
      <rPr>
        <rFont val="&quot;Helvetica Neue&quot;"/>
        <b/>
        <color rgb="FF1155CC"/>
        <sz val="11.0"/>
        <u/>
      </rPr>
      <t>https://www.instagram.com/p/DUDi1TrjLZP/?img_index=1</t>
    </r>
    <r>
      <rPr>
        <rFont val="&quot;Helvetica Neue&quot;"/>
        <b/>
        <color rgb="FF000000"/>
        <sz val="11.0"/>
      </rPr>
      <t xml:space="preserve"> 
</t>
    </r>
    <r>
      <rPr>
        <rFont val="&quot;Helvetica Neue&quot;"/>
        <b/>
        <color rgb="FF1155CC"/>
        <sz val="11.0"/>
        <u/>
      </rPr>
      <t>https://www.instagram.com/p/DWjbI3cjVKY/?img_index=9</t>
    </r>
    <r>
      <rPr>
        <rFont val="&quot;Helvetica Neue&quot;"/>
        <b/>
        <color rgb="FF000000"/>
        <sz val="11.0"/>
      </rPr>
      <t xml:space="preserve"> </t>
    </r>
  </si>
  <si>
    <t>Volontari e dormitori</t>
  </si>
  <si>
    <t>1.3</t>
  </si>
  <si>
    <t>Volontaria 3</t>
  </si>
  <si>
    <t>Per me è stata una semplice esperienza lavorativa</t>
  </si>
  <si>
    <t>Non vivo il mio ruolo come “creare comunità”, ma più come un lavoro pratico e organizzativo. 
A volte le interazioni funzionano, altre volte sono semplicemente parte della gestione operativa.
Questa volontaria ridimensiona la narrazione ufficiale
Dice “non mi sento così ‘grande’, voglio solo trasmettere felicità”
Quindi il valore sta più nella dimensione individuale e quotidiana del lavoro, non nella retorica dell’evento.</t>
  </si>
  <si>
    <t>1.4</t>
  </si>
  <si>
    <t>Dormitorio 5</t>
  </si>
  <si>
    <t>Dormitorio</t>
  </si>
  <si>
    <t>Vedo un'opportunità personale nelle Olimpiadi</t>
  </si>
  <si>
    <t>Vedo le Olimpiadi soprattutto come un’opportunità concreta: miglioramento dei trasporti, metro aperta fino a tardi e un’esperienza utile anche per il curriculum.
Riconosce benefici concreti e vede l’evento come opportunità più pratica che emotiva.</t>
  </si>
  <si>
    <t>Sondaggio</t>
  </si>
  <si>
    <t>1.5</t>
  </si>
  <si>
    <t>Risposta 15</t>
  </si>
  <si>
    <t>Le Olimpiadi sono state una scoperta</t>
  </si>
  <si>
    <r>
      <rPr>
        <rFont val="&quot;Helvetica Neue&quot;"/>
        <color rgb="FF000000"/>
        <sz val="10.0"/>
      </rPr>
      <t xml:space="preserve">Mi è capitato spesso di interagire con persone nuove grazie alle Olimpiadi, a causa del mio lavoro. 
Le Olimpiadi mi hanno permesso di visitare nuovi luoghi. 
Se dovessi descrivere la mia esperienza con una parola sarebbe </t>
    </r>
    <r>
      <rPr>
        <rFont val="&quot;Helvetica Neue&quot;"/>
        <b/>
        <color rgb="FF000000"/>
        <sz val="10.0"/>
      </rPr>
      <t>SCOPERTA</t>
    </r>
    <r>
      <rPr>
        <rFont val="&quot;Helvetica Neue&quot;"/>
        <color rgb="FF000000"/>
        <sz val="10.0"/>
      </rPr>
      <t>.</t>
    </r>
  </si>
  <si>
    <t>1.6</t>
  </si>
  <si>
    <r>
      <rPr>
        <rFont val="&quot;Helvetica Neue&quot;"/>
        <color rgb="FF000000"/>
        <sz val="10.0"/>
      </rPr>
      <t xml:space="preserve">Mi è capitato spesso di interagire con persone nuove grazie alle Olimpiadi, a causa del mio lavoro. 
Le Olimpiadi mi hanno permesso di visitare nuovi luoghi. 
Se dovessi descrivere la mia esperienza con una parola sarebbe </t>
    </r>
    <r>
      <rPr>
        <rFont val="&quot;Helvetica Neue&quot;"/>
        <b/>
        <color rgb="FF000000"/>
        <sz val="10.0"/>
      </rPr>
      <t>SCOPERTA</t>
    </r>
    <r>
      <rPr>
        <rFont val="&quot;Helvetica Neue&quot;"/>
        <color rgb="FF000000"/>
        <sz val="10.0"/>
      </rPr>
      <t>.</t>
    </r>
  </si>
  <si>
    <r>
      <rPr>
        <color rgb="FF1155CC"/>
        <sz val="12.0"/>
        <u/>
      </rPr>
      <t>https://www.instagram.com/p/DU5LlbMDHeC/img_index=1&amp;igsh=YmE4YXlsdW8xZTI2</t>
    </r>
    <r>
      <rPr>
        <color rgb="FF000000"/>
        <sz val="12.0"/>
      </rPr>
      <t xml:space="preserve"> iprogetto universitario
</t>
    </r>
    <r>
      <rPr>
        <color rgb="FF1155CC"/>
        <sz val="12.0"/>
        <u/>
      </rPr>
      <t>https://www.instagram.com/p/DVotZYIl4Zi/?img_index=1</t>
    </r>
    <r>
      <rPr>
        <color rgb="FF000000"/>
        <sz val="12.0"/>
      </rPr>
      <t xml:space="preserve"> questo è un fotografo militare, bella foto ehh, ma anche di meno/ dice che sono stati potenziati i sistemi di sicurezza antiterrorismo
</t>
    </r>
    <r>
      <rPr>
        <color rgb="FF1155CC"/>
        <sz val="12.0"/>
        <u/>
      </rPr>
      <t>https://www.instagram.com/p/DUoQCnRjsvl/</t>
    </r>
    <r>
      <rPr>
        <color rgb="FF000000"/>
        <sz val="12.0"/>
      </rPr>
      <t xml:space="preserve"> scoperto ora dell’esistenza di Veneto Magazine/ boh hanno fatto edizione speciale per olimpiadi non so se sia giusta la categoria
</t>
    </r>
    <r>
      <rPr>
        <color rgb="FF1155CC"/>
        <sz val="12.0"/>
        <u/>
      </rPr>
      <t>https://www.instagram.com/p/DTxmAWYCt0i/</t>
    </r>
    <r>
      <rPr>
        <color rgb="FF000000"/>
        <sz val="12.0"/>
      </rPr>
      <t xml:space="preserve"> il comune di cremona è molto proud
</t>
    </r>
    <r>
      <rPr>
        <color rgb="FF1155CC"/>
        <sz val="12.0"/>
        <u/>
      </rPr>
      <t>https://www.instagram.com/p/DU-vH_JiC06/</t>
    </r>
    <r>
      <rPr>
        <color rgb="FF000000"/>
        <sz val="12.0"/>
      </rPr>
      <t xml:space="preserve"> ICONE</t>
    </r>
  </si>
  <si>
    <t>2.1</t>
  </si>
  <si>
    <t>Volontaria 4</t>
  </si>
  <si>
    <t>Gli scambi sono ovunque, anche quando meno te lo aspetti.</t>
  </si>
  <si>
    <t>Gli scambi avvengono nelle venue, per strada, nei ristoranti o all’Olympic Village. Le spille non si cercano sempre attivamente: spesso si scoprono osservando gli altri.
Questa volontaria descrive molto chiaramente la trasformazione spaziale dell’evento: qualsiasi luogo dove si incontrano persone diventa un punto di interazione.
Sottolinea anche che le spille non sempre si cercano, ma spesso si vedono dalle altre persone.
Questo indica un cambiamento nel comportamento urbano: lo spazio diventa più osservato, più relazionale, più attivo.</t>
  </si>
  <si>
    <t>2.2</t>
  </si>
  <si>
    <t>Dormitorio 6</t>
  </si>
  <si>
    <t>Tutto era cambiato, ma solo momentaneamente</t>
  </si>
  <si>
    <t>Durante l’evento la città cambia temporaneamente: arrivano più turisti e alcuni servizi urbani migliorano. Però, dopo l’evento, tutto sembra tornare come prima.</t>
  </si>
  <si>
    <t>2.3</t>
  </si>
  <si>
    <t>Dormitorio 7</t>
  </si>
  <si>
    <t>Più movimento significa anche più traffico</t>
  </si>
  <si>
    <t>L’evento modifica lo spazio urbano, ma in modo ambivalente. Da una parte porta movimento, dall’altra aumenta traffico, affollamento e pressione sulla città.
L’evento modifica lo spazio, ma in modo ambivalente.</t>
  </si>
  <si>
    <t>2.4</t>
  </si>
  <si>
    <t>Risposta 3</t>
  </si>
  <si>
    <t>Cambiamento si, ma solo per guadagno</t>
  </si>
  <si>
    <r>
      <rPr>
        <rFont val="Arial"/>
        <color theme="1"/>
      </rPr>
      <t xml:space="preserve">Le Olimpiadi hanno cambiato un po’ il modo in cui ho vissuto la città di Milano, sfruttando i mezzi fino a tardi e avendo la certezza di trovare calca in giro e controllori sui mezzi.
Se dovessi descrivere la mia esperienza delle Olimpiadi con una parola quale sarebbe </t>
    </r>
    <r>
      <rPr>
        <rFont val="Arial"/>
        <b/>
        <color theme="1"/>
      </rPr>
      <t>INDIFFERENZA</t>
    </r>
    <r>
      <rPr>
        <rFont val="Arial"/>
        <color theme="1"/>
      </rPr>
      <t>, ipocrisia verso le istituzioni che non fanno partecipare degli stati (Russia) per motivazioni politiche e non altri (Israele e atleti sionisti), solito modo per Milano di buttare un sacco di soldi in eventi, strutture e pubblicità che durano un mese e poi vanno nel dimenticatoio</t>
    </r>
  </si>
  <si>
    <t>2.5</t>
  </si>
  <si>
    <t>Risposta 6</t>
  </si>
  <si>
    <t>Soldi mal spesi</t>
  </si>
  <si>
    <t xml:space="preserve">A Lecco hanno costruito un quarto ponte per smaltire il traffico vantandosi dell’opera fatta proprio per le Olimpiadi e non mi sembra cambiato nulla anzi.
La mia esperienza delle Olimpiadi è stata l’esperienza media di una qualsiasi persone non appassionata di sport, guardi qualcosina in giro o in tv e sui social e basta finisce lì. </t>
  </si>
  <si>
    <t>2.6</t>
  </si>
  <si>
    <t>Risposta 7</t>
  </si>
  <si>
    <t>Il disagio del traffico cittadino</t>
  </si>
  <si>
    <t>Le Olimpiadi hanno cambiato un po’ il modo in cui ho vissuto la città di Milano, principalmente in modo negativo, i percorsi dei mezzi di superficie erano bloccati, c’erano molte più persone in giro per la città e ci sono stati disagi generali nel corso dell'evento. 
Le Olimpiadi per me sono state un evento non troppo interessante.
Ciò che più mi è rimasto è l'aver riscoperto il piacere di seguire una mia passione.</t>
  </si>
  <si>
    <t>2.7</t>
  </si>
  <si>
    <t>Risposta 100</t>
  </si>
  <si>
    <t>Soldi mal spesi o investimenti a lungo termine?</t>
  </si>
  <si>
    <t>Le Olimpiadi rappresentano un grande spreco di denaro pubblico per infrastrutture già rovinate che, almeno si spera, vengano sistemate e riutilizzate seriamente senza fare la fine di mille altre edifici lasciati a morire nel tempo.</t>
  </si>
  <si>
    <t>Sondaggio - Risposte brevi</t>
  </si>
  <si>
    <t>2.8</t>
  </si>
  <si>
    <t>Risposta 40</t>
  </si>
  <si>
    <t>Le Olimpiadi hanno cambiato molto la frequenza dei treni. Quello che più mi è rimasto è l’orgoglio.</t>
  </si>
  <si>
    <t>2.9</t>
  </si>
  <si>
    <t>Risposta 2</t>
  </si>
  <si>
    <t>Le Olimpiadi hanno cambiato un po’ il modo in cui ho vissuto la città di Milano, sicuramente la quantità di installazioni, eventi e turisti hanno alterato molte abitudini</t>
  </si>
  <si>
    <t>3.1</t>
  </si>
  <si>
    <t>Audio</t>
  </si>
  <si>
    <t>Bar Locanda alla Mano</t>
  </si>
  <si>
    <t>Dipendente</t>
  </si>
  <si>
    <t>Parco Sempione</t>
  </si>
  <si>
    <t>"Era come una grande festa"</t>
  </si>
  <si>
    <t>Questo è uno dei casi più chiari di relazione nata grazie alle Olimpiadi. Le spille hanno funzionato come mezzo concreto di scambio, fino a trasformarsi in un incontro reale con un turista. Inoltre, l’intervistata vede nell’evento anche un’opportunità positiva per i bar e le attività locali.
“Un turista mi ha dato una spilletta e poi siamo andati a bere qualcosa.”
“Era come una grande festa.”</t>
  </si>
  <si>
    <r>
      <rPr>
        <color rgb="FF1155CC"/>
        <sz val="12.0"/>
        <u/>
      </rPr>
      <t>https://www.instagram.com/reel/DU-qPzPDecP/?igsh=YW40ZHU0ZHVlNHJj</t>
    </r>
    <r>
      <rPr>
        <color rgb="FF000000"/>
        <sz val="12.0"/>
      </rPr>
      <t xml:space="preserve"> Momento sport condiviso(belli i commenti)
</t>
    </r>
    <r>
      <rPr>
        <color rgb="FF1155CC"/>
        <sz val="12.0"/>
        <u/>
      </rPr>
      <t>https://www.instagram.com/reel/DUkw9pkiFoT/?igsh=aHRqZ2V5Z294cXhk</t>
    </r>
    <r>
      <rPr>
        <color rgb="FF000000"/>
        <sz val="12.0"/>
      </rPr>
      <t xml:space="preserve"> meme sugli addetti ai lavori 
</t>
    </r>
    <r>
      <rPr>
        <color rgb="FF1155CC"/>
        <sz val="12.0"/>
        <u/>
      </rPr>
      <t>https://www.instagram.com/p/DUiyWtOCPrX/</t>
    </r>
    <r>
      <rPr>
        <color rgb="FF000000"/>
        <sz val="12.0"/>
      </rPr>
      <t xml:space="preserve"> meme sul curling
</t>
    </r>
    <r>
      <rPr>
        <color rgb="FF1155CC"/>
        <sz val="12.0"/>
        <u/>
      </rPr>
      <t>https://www.instagram.com/p/DVi0d9JDHSv/</t>
    </r>
    <r>
      <rPr>
        <color rgb="FF000000"/>
        <sz val="12.0"/>
      </rPr>
      <t xml:space="preserve"> che fai? i volontari della croce rossa non li metti?
</t>
    </r>
    <r>
      <rPr>
        <color rgb="FF1155CC"/>
        <sz val="12.0"/>
        <u/>
      </rPr>
      <t>https://www.instagram.com/p/DWY5aBLiARO/?img_index=1</t>
    </r>
    <r>
      <rPr>
        <color rgb="FF000000"/>
        <sz val="12.0"/>
      </rPr>
      <t xml:space="preserve"> altro carosello ma di una volontaria a predazzo sto giro
</t>
    </r>
    <r>
      <rPr>
        <color rgb="FF1155CC"/>
        <sz val="12.0"/>
        <u/>
      </rPr>
      <t>https://www.instagram.com/p/DVBuZ77iE1a</t>
    </r>
    <r>
      <rPr>
        <color rgb="FF000000"/>
        <sz val="12.0"/>
      </rPr>
      <t xml:space="preserve"> tutti amano i cani, soprattutto le loro storie/ momenti tra persone e animali(?)
</t>
    </r>
    <r>
      <rPr>
        <color rgb="FF1155CC"/>
        <sz val="12.0"/>
        <u/>
      </rPr>
      <t>https://www.instagram.com/p/DVDlnvADGiV/</t>
    </r>
    <r>
      <rPr>
        <color rgb="FF000000"/>
        <sz val="12.0"/>
      </rPr>
      <t xml:space="preserve"> memotto
</t>
    </r>
    <r>
      <rPr>
        <color rgb="FF1155CC"/>
        <sz val="12.0"/>
        <u/>
      </rPr>
      <t>https://www.instagram.com/p/DVdyVmdjCNK/</t>
    </r>
    <r>
      <rPr>
        <color rgb="FF000000"/>
        <sz val="12.0"/>
      </rPr>
      <t xml:space="preserve"> daje un altro carosello di foto di una volontaria
</t>
    </r>
    <r>
      <rPr>
        <color rgb="FF1155CC"/>
        <sz val="12.0"/>
        <u/>
      </rPr>
      <t>https://www.instagram.com/p/C7mZ_Xcs5Uf/</t>
    </r>
    <r>
      <rPr>
        <color rgb="FF000000"/>
        <sz val="12.0"/>
      </rPr>
      <t xml:space="preserve"> una mamma con le mascotte
</t>
    </r>
    <r>
      <rPr>
        <color rgb="FF1155CC"/>
        <sz val="12.0"/>
        <u/>
      </rPr>
      <t>https://www.instagram.com/p/DUf8zYBDc41/</t>
    </r>
    <r>
      <rPr>
        <color rgb="FF000000"/>
        <sz val="12.0"/>
      </rPr>
      <t xml:space="preserve"> altri volontari servizio sanitario
</t>
    </r>
    <r>
      <rPr>
        <color rgb="FF1155CC"/>
        <sz val="12.0"/>
        <u/>
      </rPr>
      <t>https://www.instagram.com/p/DUbzWYnAGIq/</t>
    </r>
    <r>
      <rPr>
        <color rgb="FF000000"/>
        <sz val="12.0"/>
      </rPr>
      <t xml:space="preserve"> altro carosello
</t>
    </r>
    <r>
      <rPr>
        <color rgb="FF1155CC"/>
        <sz val="12.0"/>
        <u/>
      </rPr>
      <t>https://www.instagram.com/p/DVEkdpoDVAh/</t>
    </r>
    <r>
      <rPr>
        <color rgb="FF000000"/>
        <sz val="12.0"/>
      </rPr>
      <t xml:space="preserve"> tradurre il giapponese non è uno dei punti forti di insta
</t>
    </r>
    <r>
      <rPr>
        <color rgb="FF1155CC"/>
        <sz val="12.0"/>
        <u/>
      </rPr>
      <t>https://www.instagram.com/p/DUvoEsFkqu9/</t>
    </r>
    <r>
      <rPr>
        <color rgb="FF000000"/>
        <sz val="12.0"/>
      </rPr>
      <t xml:space="preserve"> altri volontari del soccorso dajeee
</t>
    </r>
    <r>
      <rPr>
        <color rgb="FF1155CC"/>
        <sz val="12.0"/>
        <u/>
      </rPr>
      <t>https://www.instagram.com/p/DUp2G8vjKzn/</t>
    </r>
    <r>
      <rPr>
        <color rgb="FF000000"/>
        <sz val="12.0"/>
      </rPr>
      <t xml:space="preserve"> magazine, parla di spille, altra gente da stalkerare</t>
    </r>
  </si>
  <si>
    <t>3.2</t>
  </si>
  <si>
    <t>Ragazzo con pappagallo</t>
  </si>
  <si>
    <t>Cittadino</t>
  </si>
  <si>
    <t>Porta Genova</t>
  </si>
  <si>
    <t>"Mi piace questa cosa di condividere oggetti"</t>
  </si>
  <si>
    <t>Pur non avendo seguito le gare, ha vissuto molto positivamente la presenza di più persone e turisti in città. Valorizza l’incontro con gli altri e vede nello scambio delle spille una bella occasione di condivisione. In più, apprezza anche un cambiamento concreto come la metro aperta fino alle due.
“Mi piace parlare con le persone, mi fa tanto piacere vedere tante.”
“Questo scambio così mi piace tantissimo. È una cosa bella. Mi piace questa cosa di condividere le cose.”</t>
  </si>
  <si>
    <t>3.3</t>
  </si>
  <si>
    <t>Audio
Foto</t>
  </si>
  <si>
    <t>Tom</t>
  </si>
  <si>
    <t>Exchange Student</t>
  </si>
  <si>
    <t>“It was really about being together.”</t>
  </si>
  <si>
    <t>Tom racconta le Olimpiadi come un’occasione concreta di incontro, scambio e condivisione tra persone di paesi diversi. Pur non avendo partecipato direttamente agli eventi ufficiali, ha vissuto l’esperienza olimpica attraverso pub, eventi informali e momenti collettivi in cui si parlava di sport e si tifava insieme. Il valore principale dell’evento, nel suo racconto, non è tanto la competizione sportiva in sé, quanto la possibilità di stare insieme e sentirsi parte di un’atmosfera internazionale e accogliente.
“It was really about being together.”
“When the Netherlands won, people from different countries were happy together.”
“You could connect with people from America, China, Australia… The whole world was in Milan.”</t>
  </si>
  <si>
    <r>
      <rPr>
        <rFont val="&quot;Helvetica Neue&quot;"/>
        <b/>
        <color rgb="FF000000"/>
        <sz val="11.0"/>
      </rPr>
      <t xml:space="preserve">ATLETI E COACH
</t>
    </r>
    <r>
      <rPr>
        <rFont val="&quot;Helvetica Neue&quot;"/>
        <b/>
        <color rgb="FF1155CC"/>
        <sz val="11.0"/>
        <u/>
      </rPr>
      <t>https://www.instagram.com/p/DU-nOluEkzy/</t>
    </r>
    <r>
      <rPr>
        <rFont val="&quot;Helvetica Neue&quot;"/>
        <b/>
        <color rgb="FF000000"/>
        <sz val="11.0"/>
      </rPr>
      <t xml:space="preserve"> 
</t>
    </r>
    <r>
      <rPr>
        <rFont val="&quot;Helvetica Neue&quot;"/>
        <b/>
        <color rgb="FF1155CC"/>
        <sz val="11.0"/>
        <u/>
      </rPr>
      <t>https://www.instagram.com/p/DUiha4UiquH/?img_index=3</t>
    </r>
    <r>
      <rPr>
        <rFont val="&quot;Helvetica Neue&quot;"/>
        <b/>
        <color rgb="FF000000"/>
        <sz val="11.0"/>
      </rPr>
      <t xml:space="preserve"> 
</t>
    </r>
    <r>
      <rPr>
        <rFont val="&quot;Helvetica Neue&quot;"/>
        <b/>
        <color rgb="FF1155CC"/>
        <sz val="11.0"/>
        <u/>
      </rPr>
      <t>https://www.instagram.com/p/DVCQ8wDjcG1/</t>
    </r>
    <r>
      <rPr>
        <rFont val="&quot;Helvetica Neue&quot;"/>
        <b/>
        <color rgb="FF000000"/>
        <sz val="11.0"/>
      </rPr>
      <t xml:space="preserve"> 
</t>
    </r>
    <r>
      <rPr>
        <rFont val="&quot;Helvetica Neue&quot;"/>
        <b/>
        <color rgb="FF1155CC"/>
        <sz val="11.0"/>
        <u/>
      </rPr>
      <t>https://www.instagram.com/p/DUtYyD4jazB/</t>
    </r>
    <r>
      <rPr>
        <rFont val="&quot;Helvetica Neue&quot;"/>
        <b/>
        <color rgb="FF000000"/>
        <sz val="11.0"/>
      </rPr>
      <t xml:space="preserve"> 
</t>
    </r>
    <r>
      <rPr>
        <rFont val="&quot;Helvetica Neue&quot;"/>
        <b/>
        <color rgb="FF1155CC"/>
        <sz val="11.0"/>
        <u/>
      </rPr>
      <t>https://www.instagram.com/p/DUdEMfzjwSh/</t>
    </r>
    <r>
      <rPr>
        <rFont val="&quot;Helvetica Neue&quot;"/>
        <b/>
        <color rgb="FF000000"/>
        <sz val="11.0"/>
      </rPr>
      <t xml:space="preserve"> 
</t>
    </r>
    <r>
      <rPr>
        <rFont val="&quot;Helvetica Neue&quot;"/>
        <b/>
        <color rgb="FF1155CC"/>
        <sz val="11.0"/>
        <u/>
      </rPr>
      <t>https://www.instagram.com/p/DU30XG9k0Lc/?img_index=6</t>
    </r>
    <r>
      <rPr>
        <rFont val="&quot;Helvetica Neue&quot;"/>
        <b/>
        <color rgb="FF000000"/>
        <sz val="11.0"/>
      </rPr>
      <t xml:space="preserve"> 
</t>
    </r>
    <r>
      <rPr>
        <rFont val="&quot;Helvetica Neue&quot;"/>
        <b/>
        <color rgb="FF1155CC"/>
        <sz val="11.0"/>
        <u/>
      </rPr>
      <t>https://www.instagram.com/p/DUYTRg-iLNm/?img_index=3</t>
    </r>
    <r>
      <rPr>
        <rFont val="&quot;Helvetica Neue&quot;"/>
        <b/>
        <color rgb="FF000000"/>
        <sz val="11.0"/>
      </rPr>
      <t xml:space="preserve"> </t>
    </r>
  </si>
  <si>
    <t>3.4</t>
  </si>
  <si>
    <t>Audio
2 Foto
Video</t>
  </si>
  <si>
    <t>Gabriele e Federico</t>
  </si>
  <si>
    <t>Studenti</t>
  </si>
  <si>
    <t>"Ho parlato con degli atleti canadesi di snowboard"</t>
  </si>
  <si>
    <t>Il nucleo più forte del racconto è la possibilità di incontro e scambio nata grazie alle Olimpiadi. Questo emerge in modo molto chiaro soprattutto nel ricordo di Gabriele, che racconta di aver parlato con atleti canadesi di snowboard incontrati casualmente ai Navigli. Anche il giudizio sulle spille va nella stessa direzione: vengono percepite come uno strumento utile per conoscere persone. L’evento è quindi associato soprattutto a un clima di unione e a piccole interazioni spontanee nello spazio urbano.
“Io invece ho parlato con degli atleti canadesi di snowboard, anche loro stavano pescando.”
“Abbiamo chiacchierato in inglese. Questo mi è rimasto molto.”
“Qualcosa che unisce.”
“Un minimo di clima di unione si sentiva.”
“Fa piacere vedere tante persone anche dall’estero che vengono per l’evento.”
“Ti permette di conoscere persone.”</t>
  </si>
  <si>
    <t>3.5</t>
  </si>
  <si>
    <t>Bar MAG</t>
  </si>
  <si>
    <t>“Abbiamo cercato di far sentire tutti i turisti a casa.”</t>
  </si>
  <si>
    <t>Il nucleo più forte del racconto è la creazione concreta di contatti, scambi e gruppi spontanei grazie all’atmosfera olimpica costruita nel locale. Qui le Olimpiadi non restano sullo sfondo come semplice immagine o festa, ma diventano un dispositivo reale di incontro: i drink dedicati alle nazioni, le spillette, le divise e il tema del menù hanno funzionato come pretesti per far parlare le persone, farle riconoscere tra loro e sentirsi rappresentate. L’elemento più significativo è che clienti inizialmente separati finivano per unirsi in un unico tavolo. Per questo la legacy qui non è astratta, ma relazionale e vissuta.
“Grazie ai drink o al fatto di essere dello stesso paese, si univano.”
“Alla fine si creava un tavolo unico.”
“Due o tre tavoli diventavano uno solo.”
“Abbiamo cercato di far sentire tutti i turisti a casa.”
“Le persone che venivano per le Olimpiadi trovavano qualcosa che le rappresentava.”
“Sicuramente sono oggetti da collezione, ma mandano anche un bellissimo messaggio.”</t>
  </si>
  <si>
    <t>3.6</t>
  </si>
  <si>
    <t>Volontaria 1</t>
  </si>
  <si>
    <t>Chi cerca trova</t>
  </si>
  <si>
    <t>Lo scambio delle spille nasce spesso dall’osservazione reciproca: vedi una spilla sul collo di qualcuno e inizi a parlare. Può succedere ovunque, per strada, nei ristoranti, nelle venue o all’IBC.
La volontaria descrive lo scambio di spille come qualcosa che nasce e dal confronto.
Lo scambio avviene ovunque e con chiunque: atleti, allenatori, volontari, media e spettatori.
Racconta anche che spesso lo scambio non è formale: alcune persone chiedono direttamente una spilletta, oppure si creano piccole dinamiche di relazione, come quando una spilletta viene regalata dopo aver aiutato qualcuno.</t>
  </si>
  <si>
    <t>3.7</t>
  </si>
  <si>
    <t>Volontaria 2</t>
  </si>
  <si>
    <t>Non solo spille</t>
  </si>
  <si>
    <t>Le spille diventano un pretesto per iniziare una conversazione, anche tra persone che non si conoscono. A volte lo scambio non è solo di spille, ma anche di piccoli regali, dolci o snack.
Questa volontaria sottolinea come le spille funzionino come “pretesto relazionale”: persone che non si conoscono iniziano a parlare con l'interesse di ottenere qualcosa.
Porta esempi concreti:
- conversazioni con un allenatore coreano di curling che parlava con chiunque per scambiare spille
- scambi che si trasformano in altro (dolci, snack, piccoli regali)
Allo stesso tempo evidenzia un cambiamento nello spazio:
le interazioni non sono localizzate, ma diffuse in tutto il sistema olimpico, rendendo ogni luogo un possibile punto di contatto.</t>
  </si>
  <si>
    <t>3.8</t>
  </si>
  <si>
    <t>Dormitorio 3</t>
  </si>
  <si>
    <t>Nuove spille, nuovi amici</t>
  </si>
  <si>
    <t>Per me lo scambio di spille può essere una possibilità per conoscere persone diverse. Anche senza partecipare direttamente, riconosco il suo potenziale relazionale.</t>
  </si>
  <si>
    <t>3.9</t>
  </si>
  <si>
    <t>Dormitorio 4</t>
  </si>
  <si>
    <t>Olimpiadi per unire</t>
  </si>
  <si>
    <t>Collego le Olimpiadi all’idea di pace, unione e incontro tra persone. L’evento può diventare uno spazio simbolico di connessione globale.</t>
  </si>
  <si>
    <t>Risposta 4</t>
  </si>
  <si>
    <t>Volontario</t>
  </si>
  <si>
    <t>Nuove persone</t>
  </si>
  <si>
    <r>
      <rPr>
        <rFont val="Arial"/>
        <color theme="1"/>
        <sz val="10.0"/>
      </rPr>
      <t xml:space="preserve">Mi è capitato spesso di interagire con persone nuove grazie alle Olimpiadi, in particolare con gli altri volontari durante i turni. 
Se dovessi descrivere la mia esperienza delle Olimpiadi con una frase quale sarebbe: </t>
    </r>
    <r>
      <rPr>
        <rFont val="Arial"/>
        <b/>
        <color theme="1"/>
        <sz val="10.0"/>
      </rPr>
      <t>PERSONE NUOVE</t>
    </r>
    <r>
      <rPr>
        <rFont val="Arial"/>
        <color theme="1"/>
        <sz val="10.0"/>
      </rPr>
      <t xml:space="preserve">
Durante le Olimpiadi ho vissuto per un paio di settimane nella mia seconda casa di Bormio e sono state introdotte delle restrizione per i movimenti in auto.</t>
    </r>
  </si>
  <si>
    <t>Risposta 5</t>
  </si>
  <si>
    <t>Impegno, sacrifici e soddisfazioni</t>
  </si>
  <si>
    <r>
      <rPr>
        <rFont val="Arial"/>
        <color theme="1"/>
        <sz val="10.0"/>
      </rPr>
      <t xml:space="preserve">Mi è capitato qualche volta di interagire con persone nuove grazie alle Olimpiadi parlando di atleti. 
Dopo le Olimpiadi mi è rimasto molto chiaro il ricordo della vita di un’atleta, tra sacrifici e sogni. 
Se dovessi descrivere la mia esperienza delle Olimpiadi con delle parole sarebbero: </t>
    </r>
    <r>
      <rPr>
        <rFont val="Arial"/>
        <b/>
        <color theme="1"/>
        <sz val="10.0"/>
      </rPr>
      <t>IMPEGNO</t>
    </r>
    <r>
      <rPr>
        <rFont val="Arial"/>
        <color theme="1"/>
        <sz val="10.0"/>
      </rPr>
      <t xml:space="preserve">, </t>
    </r>
    <r>
      <rPr>
        <rFont val="Arial"/>
        <b/>
        <color theme="1"/>
        <sz val="10.0"/>
      </rPr>
      <t>SACRIFICI</t>
    </r>
    <r>
      <rPr>
        <rFont val="Arial"/>
        <color theme="1"/>
        <sz val="10.0"/>
      </rPr>
      <t xml:space="preserve"> e </t>
    </r>
    <r>
      <rPr>
        <rFont val="Arial"/>
        <b/>
        <color theme="1"/>
        <sz val="10.0"/>
      </rPr>
      <t>SODDISFAZIONI</t>
    </r>
    <r>
      <rPr>
        <rFont val="Arial"/>
        <color theme="1"/>
        <sz val="10.0"/>
      </rPr>
      <t>.
Le Olimpiadi hanno cambiato un po’ il modo in cui ho vissuto la città di Milano: ero stato a Milano pochi mesi prima dell’inizio delle Olimpiadi Invernali Milano-Cortina 2026, e già in alcune vie si respirava quell’atmosfera: tra installazioni con le mascotte e negozi pieni di gente, sembrava che la città fosse già pronta a viverle.</t>
    </r>
  </si>
  <si>
    <t>Giovanni</t>
  </si>
  <si>
    <t>Una tradizione da sempre</t>
  </si>
  <si>
    <t>Le Olimpiadi sono state una bella esperienza, le seguo da sempre, per me è una tradizione, quest’anno poi ho anche avuto il piacere di vedere un mio collega partecipare. 
Mi è capitato di interagire con persone nuove seguendo qualche partita.</t>
  </si>
  <si>
    <t>Risposta 28</t>
  </si>
  <si>
    <t>Evento unico e incredibile</t>
  </si>
  <si>
    <t>Le Olimpiadi Milano-Cortina 2026 sono state un evento unico e incredibile, la città splendeva. Le ho seguite in TV e in presenza negli stadi perché ho lavorato come volontario, grazie a questa esperienza mi è capitato spesso di interagire con nuove persone.</t>
  </si>
  <si>
    <t>David</t>
  </si>
  <si>
    <t>Rircordo del pattinaggio artistico</t>
  </si>
  <si>
    <t>Mi sono interessato da lontano alle Olimpiadi. Ho avuto contatti indiretti con nuove persone su TikTok commentando video su determinate performance sportive. Ciò che più mi è rimasto è il ricordo delle performance pattinaggio artistico.</t>
  </si>
  <si>
    <t>Daniele</t>
  </si>
  <si>
    <t>Queste Olimpiadi mi hanno lasciato felicità</t>
  </si>
  <si>
    <t>Le Olimpiadi Milano-Cortina 2026 sono state una festa globale che ha unito grazie allo sport. A me è capitato qualche volta di interagire con persone nuove all'entrata e uscita dei luoghi di gara. Queste Olimpiadi mi hanno lasciato la felicità di averle vissute dal vivo vicino ai luoghi dove abito e lavoro (percorso della fiamma, il braciere e le gare sugli spalti).</t>
  </si>
  <si>
    <t>Foto</t>
  </si>
  <si>
    <t>Risposta 71</t>
  </si>
  <si>
    <t>Volontaria</t>
  </si>
  <si>
    <t>Esperienza indimenticabile</t>
  </si>
  <si>
    <t>Ho vissuto veramente attivamente questo evento globale, è stata un’esperienza indimenticabile. Ciò che più mi è rimasto è stata l’esperienza come volontaria, grazie alla quale ho avuto la possibilità di partecipare attivamente allo scambio delle spille: un’iniziativa che ha aiutato molto a creare interazione tra le persone.</t>
  </si>
  <si>
    <t>Risposta 73</t>
  </si>
  <si>
    <t>Le spille non sono solo un oggetto</t>
  </si>
  <si>
    <t>Grazie a queste Olimpiadi ho scoperto l’esistenza delle spille olimpiche ed ho partecipato attivamente allo scambio, penso che abbiano aiutato molto a creare interazione tra le persone: le spille non sono solo un oggetto, ma un simbolo di società. Quello che più mi hanno lasciato le Olimpiadi è una città più socievole. 
Durante il periodo delle Olimpiadi, le nuovi costruzioni realizzate per questo evento hanno fortemente attirato la mia attenzione, mi sono soffermato in più luoghi della mia città che solitamente erano per me unicamente di passaggio.</t>
  </si>
  <si>
    <t>Carlotta</t>
  </si>
  <si>
    <t>Volontari e atleti sono persone come altre</t>
  </si>
  <si>
    <t>Ho seguito le Olimpiadi in presenza, sui social media e da volontaria del Team26, perché sono appassionata di sport invernali. Mi è capitato spesso di interagire con persone nuove grazie alle Olimpiadi, in particolare durante check-in e checkout, e al banco informazioni del Villaggio di Predazzo. Io frequentavo la zona di Predazzo solo a livello sportivo e ricreativo, quindi prevalentemente solo le piste, viverla da un punto di vista semi-lavorativo e cittadino me ne ha fatto conoscere un aspetto più quotidiano. Durante queste Olimpiadi ho scoperto alcune tradizioni olimpiche che hanno unito atleti e volontari: dallo scambio di spille alle collezioni di fascette, e ho anche partecipato attivamente. Queste Olimpiadi mi hanno trasmesso uguaglianza: gli atleti sono persone come le altre, ognuno con il suo carattere e con le sue abitudini quotidiane. Mi sono rimaste le storie degli altri volontari (chi sono, da dove vengono, cosa fanno nella vita esterna alle Olimpiadi) e l'indefinibile sensazione dell'aver vissuto in un luogo che nella realtà non esiste, al quale non si potrà tornare, ossia il Villaggio Olimpico appositamente creato, un po' quella specie di stonante nostalgia che in gallese è definita Hiraeth. Nel villaggio si respirava un'atmosfera surreale, una dimensione di persone e luoghi unici in cui sono contenta di aver vissuto.</t>
  </si>
  <si>
    <t>Risposta 80</t>
  </si>
  <si>
    <t>Socializzare grazie alle spille</t>
  </si>
  <si>
    <t>Il motivo per cui ho seguito le Olimpiadi invernali 2026 è stato per prendere le pin, grazie alle Olimpiadi ho avuto più opportunità di socializzare con le persone; le spille hanno aiutato molto a creare interazione tra le persone, ed io ho partecipato attivamente.</t>
  </si>
  <si>
    <t>Omar</t>
  </si>
  <si>
    <t>Curiosità globale</t>
  </si>
  <si>
    <t>Le Olimpiadi Milano-Cortina 2026 sono state una bella esperienza. Mi è capitato qualche volta di interagire con persone nuove grazie alle Olimpiadi e mi hanno lasciato curiosità verso altri paesi e culture.</t>
  </si>
  <si>
    <t>Risposta 88</t>
  </si>
  <si>
    <t>Le Olimpiadi Milano-Cortina 2026 mi hanno trasmesso passione e senso di unità.</t>
  </si>
  <si>
    <t>Risposta 69</t>
  </si>
  <si>
    <t>Le Olimpiadi invernali 2026 mi hanno fatto comprendere quanto lo sport crei unità.</t>
  </si>
  <si>
    <t>Risposta 64</t>
  </si>
  <si>
    <t>Le Olimpiadi invernali 2026 sono descrivibili con la parola unione.</t>
  </si>
  <si>
    <t>Risposta 21</t>
  </si>
  <si>
    <t>Ho guardato solo pochi momenti delle Olimpiadi insieme ad amici e famiglia.</t>
  </si>
  <si>
    <t>Risposta 33</t>
  </si>
  <si>
    <t>Mi è capitato qualche volta di interagire con persone nuove sul pullman grazie alle Olimpiadi.</t>
  </si>
  <si>
    <t>Marialaura</t>
  </si>
  <si>
    <t>Collaboratrice scolastica</t>
  </si>
  <si>
    <t>Mi è capitato di interagire con persone nuove grazie alle Olimpiadi attraverso contatti indiretti commentando sui social.</t>
  </si>
  <si>
    <t>Andrea</t>
  </si>
  <si>
    <t>Ho seguito le Olimpiadi sulla TV e sui social media, con amici e famiglia, è diventato un momento condiviso.</t>
  </si>
  <si>
    <t>Erika</t>
  </si>
  <si>
    <t>Estetista</t>
  </si>
  <si>
    <t>Ho sentito parlare dello scambio di spille e penso che abbia in parte aiutato a creare interazione tra le persone.</t>
  </si>
  <si>
    <t>Risposta 65</t>
  </si>
  <si>
    <t>Le Olimpiadi invernali 2026 sono state un’esperienza bella da seguire, ha creato unità e curiosità in me e nelle persone intorno a me.</t>
  </si>
  <si>
    <t>Massimo</t>
  </si>
  <si>
    <t>Le Olimpiadi invernali 2026 sono state molto partecipate e coinvolgenti. Ciò che più mi è rimasto sono state le imprese delle nostre campionesse olimpiche.</t>
  </si>
  <si>
    <t>Risposta 37</t>
  </si>
  <si>
    <t>Le Olimpiadi Milano-Cortina 2026 per me hanno rappresentato un estemporaneo interesse per un evento internazionale condiviso con amici e parenti.</t>
  </si>
  <si>
    <t>4.1</t>
  </si>
  <si>
    <t>Ragazzo straniero</t>
  </si>
  <si>
    <t>Castello Sforzesco</t>
  </si>
  <si>
    <t>“The thing that came back the most was the women’s artistic ice skating.”</t>
  </si>
  <si>
    <t>Non ha seguito direttamente l’evento e non era a Milano, ma conserva comunque una traccia indiretta dell’atmosfera olimpica attraverso i racconti entusiasti dei suoi amici sul pattinaggio artistico.
“I have many friends that follow them… and they were really cheering for someone.”
“The thing that came back the most was the women’s artistic ice skating.”</t>
  </si>
  <si>
    <r>
      <rPr>
        <color rgb="FF1155CC"/>
        <sz val="12.0"/>
        <u/>
      </rPr>
      <t>https://www.instagram.com/p/DVDhCoQjCQu/</t>
    </r>
    <r>
      <rPr>
        <color rgb="FF000000"/>
        <sz val="12.0"/>
      </rPr>
      <t xml:space="preserve">  questo a quanto pare è famoso
</t>
    </r>
    <r>
      <rPr>
        <color rgb="FF1155CC"/>
        <sz val="12.0"/>
        <u/>
      </rPr>
      <t>https://www.instagram.com/reel/DUizof0jOD_/?igsh=MW41Z2hjOWN4cHFwNw%3D%3D</t>
    </r>
    <r>
      <rPr>
        <color rgb="FF000000"/>
        <sz val="12.0"/>
      </rPr>
      <t xml:space="preserve">
</t>
    </r>
    <r>
      <rPr>
        <color rgb="FF1155CC"/>
        <sz val="12.0"/>
        <u/>
      </rPr>
      <t>https://www.instagram.com/p/DVElpevCEQg/?img_index=1</t>
    </r>
    <r>
      <rPr>
        <color rgb="FF000000"/>
        <sz val="12.0"/>
      </rPr>
      <t xml:space="preserve"> fotografa amatoriale, controllare commenti
</t>
    </r>
    <r>
      <rPr>
        <color rgb="FF1155CC"/>
        <sz val="12.0"/>
        <u/>
      </rPr>
      <t>https://www.instagram.com/p/DVERN76DEtL/</t>
    </r>
    <r>
      <rPr>
        <color rgb="FF000000"/>
        <sz val="12.0"/>
      </rPr>
      <t xml:space="preserve"> tipico carosello di foto a cazzo
</t>
    </r>
    <r>
      <rPr>
        <color rgb="FF1155CC"/>
        <sz val="12.0"/>
        <u/>
      </rPr>
      <t>https://www.instagram.com/p/DUtKkR6jG6M/</t>
    </r>
    <r>
      <rPr>
        <color rgb="FF000000"/>
        <sz val="12.0"/>
      </rPr>
      <t xml:space="preserve"> grande antonella che ci semplifica la raccolta dei murales
</t>
    </r>
    <r>
      <rPr>
        <color rgb="FF1155CC"/>
        <sz val="12.0"/>
        <u/>
      </rPr>
      <t>https://www.instagram.com/p/DUdqxgcjLhp/</t>
    </r>
    <r>
      <rPr>
        <color rgb="FF000000"/>
        <sz val="12.0"/>
      </rPr>
      <t xml:space="preserve"> 
</t>
    </r>
    <r>
      <rPr>
        <color rgb="FF1155CC"/>
        <sz val="12.0"/>
        <u/>
      </rPr>
      <t>https://www.instagram.com/p/DUz4qxgiHGI/</t>
    </r>
    <r>
      <rPr>
        <color rgb="FF000000"/>
        <sz val="12.0"/>
      </rPr>
      <t xml:space="preserve"> influencer wannabe
</t>
    </r>
    <r>
      <rPr>
        <color rgb="FF1155CC"/>
        <sz val="12.0"/>
        <u/>
      </rPr>
      <t>https://www.instagram.com/p/DVET_97jfrt/</t>
    </r>
    <r>
      <rPr>
        <color rgb="FF000000"/>
        <sz val="12.0"/>
      </rPr>
      <t xml:space="preserve"> qui c’è un video carino
</t>
    </r>
    <r>
      <rPr>
        <color rgb="FF1155CC"/>
        <sz val="12.0"/>
        <u/>
      </rPr>
      <t>https://www.instagram.com/p/DUvgZgtDH2L/</t>
    </r>
    <r>
      <rPr>
        <color rgb="FF000000"/>
        <sz val="12.0"/>
      </rPr>
      <t xml:space="preserve"> altre foto dell’hockey
</t>
    </r>
    <r>
      <rPr>
        <color rgb="FF1155CC"/>
        <sz val="12.0"/>
        <u/>
      </rPr>
      <t>https://www.instagram.com/p/DV8xgNoiEN-/</t>
    </r>
    <r>
      <rPr>
        <color rgb="FF000000"/>
        <sz val="12.0"/>
      </rPr>
      <t xml:space="preserve"> questo può tornare utile per i commenti? -si
</t>
    </r>
    <r>
      <rPr>
        <color rgb="FF1155CC"/>
        <sz val="12.0"/>
        <u/>
      </rPr>
      <t>https://www.instagram.com/p/DUc9NBSDZjK/?img_index=1</t>
    </r>
    <r>
      <rPr>
        <color rgb="FF000000"/>
        <sz val="12.0"/>
      </rPr>
      <t xml:space="preserve"> boh teniamola</t>
    </r>
  </si>
  <si>
    <t>4.2</t>
  </si>
  <si>
    <t>Audio
Video</t>
  </si>
  <si>
    <t>Coppia Bielorussi</t>
  </si>
  <si>
    <t>Turisti</t>
  </si>
  <si>
    <t>“It was very interesting to see different teams from different countries compete in different sports.”</t>
  </si>
  <si>
    <t>Hanno seguito le gare e la cerimonia d’apertura per passione sportiva. Il loro racconto insiste sull’interesse per la competizione internazionale, sulla varietà degli sport e sulla presenza di paesi diversi.
“It was very interesting to see different teams from different countries compete in different sports.”
“It would have been a great experience to participate and to visit Milan during the Olympics.”</t>
  </si>
  <si>
    <t>4.3</t>
  </si>
  <si>
    <t>Guida turistica</t>
  </si>
  <si>
    <t xml:space="preserve">“Con i colori mi sono sentita rappresentata.”
</t>
  </si>
  <si>
    <t>Non ha seguito davvero l’evento, ma ciò che le è rimasto è la cerimonia d’apertura. In particolare, si è sentita rappresentata dai colori e dall’immagine trasmessa dell’Italia.
“Sì, assolutamente, con i colori mi sono sentita rappresentata.”
“L’unica cosa che ho visto un po’ è stata la cerimonia di apertura.”</t>
  </si>
  <si>
    <t>4.4</t>
  </si>
  <si>
    <t>Coppia svizzera</t>
  </si>
  <si>
    <t>“A noi, se hanno vinto gli svizzeri oppure gli italiani, ha sempre fatto molto piacere.”</t>
  </si>
  <si>
    <t>Hanno seguito l’evento per interesse sportivo, soprattutto per lo sci. Il loro racconto mette in evidenza il piacere della visione, l’emozione per le vittorie e l’idea che l’Olimpiade rafforzi interessi già esistenti più che crearne di nuovi.
“Chi già era interessato prima è interessato anche adesso, chi non era non è che si sia scaldato per seguirli di più.”
“A noi, se hanno vinto gli svizzeri oppure gli italiani, ha sempre fatto molto piacere.”</t>
  </si>
  <si>
    <t>4.5</t>
  </si>
  <si>
    <t>Juan</t>
  </si>
  <si>
    <t>Lavoratore spagnolo</t>
  </si>
  <si>
    <t>“Molta unità.”</t>
  </si>
  <si>
    <r>
      <rPr>
        <rFont val="&quot;Helvetica Neue&quot;"/>
        <color rgb="FF000000"/>
        <sz val="10.0"/>
      </rPr>
      <t>Ha seguito l’evento sia per interesse sportivo sia per il valore internazionale dell’Olimpiade. La cerimonia gli ha trasmesso un’immagine dell’Italia artistica e colorata, e riassume l’eredità dell’evento con la parola “</t>
    </r>
    <r>
      <rPr>
        <rFont val="&quot;Helvetica Neue&quot;"/>
        <b/>
        <color rgb="FF000000"/>
        <sz val="10.0"/>
      </rPr>
      <t>UNITÀ</t>
    </r>
    <r>
      <rPr>
        <rFont val="&quot;Helvetica Neue&quot;"/>
        <color rgb="FF000000"/>
        <sz val="10.0"/>
      </rPr>
      <t>”.
“Molta unità.”
“Molto, molto artistica e colorata.”</t>
    </r>
  </si>
  <si>
    <t>4.6</t>
  </si>
  <si>
    <t>Claudio</t>
  </si>
  <si>
    <t>Pensionato</t>
  </si>
  <si>
    <t>“Mi è piaciuto vedere la città piena di gente.”</t>
  </si>
  <si>
    <t>Pur non avendo seguito le Olimpiadi e non essendo interessato allo sport, Claudio ha percepito l’evento in modo positivo. L’aspetto che lo ha colpito di più è stata la presenza di molte persone e turisti, vissuta non come intralcio ma come segno di una città più viva. Anche i possibili disagi logistici, come la presenza di molti pullman, non sono stati percepiti negativamente. Nel complesso, l’evento viene letto più come un’opportunità e come un’atmosfera positiva che come un’esperienza direttamente vissuta.
“Mi è piaciuto vedere la città piena di gente.”
“No, non come intralcio.”
“Opportunità.”</t>
  </si>
  <si>
    <t>4.7</t>
  </si>
  <si>
    <t>Lauren</t>
  </si>
  <si>
    <t>“So it definitely felt like the city was more lively.”</t>
  </si>
  <si>
    <t>Lauren percepisce le Olimpiadi come una presenza diffusa e positiva, più che come un’esperienza diretta. L’evento emerge attraverso i media, i social, le decorazioni urbane e la sensazione di una città più viva e animata. La sua testimonianza non mette al centro né relazioni concrete nate grazie alle Olimpiadi né problemi specifici, ma soprattutto l’atmosfera generale dell’evento e la sua forte visibilità.
“So it definitely felt like the city was more lively.”</t>
  </si>
  <si>
    <t>4.8</t>
  </si>
  <si>
    <t>Gilda e Tiziana</t>
  </si>
  <si>
    <t>Lavoratrici</t>
  </si>
  <si>
    <t>“Quando l’ho vista in televisione (Sofia Goggia) mi sono messa a piangere.”</t>
  </si>
  <si>
    <t>Nonostante un coinvolgimento diretto molto limitato, l’elemento più forte del racconto è l’impatto emotivo vissuto attraverso la televisione. Le Olimpiadi non vengono ricordate tanto per la partecipazione agli eventi o per relazioni nate in città, ma per un momento di forte emozione condivisa davanti allo schermo: la vittoria di Sofia Goggia dopo tanti infortuni. Anche se compaiono alcuni piccoli disagi logistici, il nucleo della testimonianza resta la commozione, il tifo e il valore simbolico della vittoria sportiva.
“Quando l’ho vista in televisione mi sono messa a piangere.”
“È stata una grande emozione, una scena molto bella.”
“Mi sono proprio commossa.”
“Per chi doveva andare a lavorare ci sono stati un po’ di disagi, perché hanno chiuso molte strade.”
“In metro avevano messo persone che li aiutavano, e questa cosa aiutava tanto.”
“Ho visto una bella collaborazione.”</t>
  </si>
  <si>
    <t>4.9</t>
  </si>
  <si>
    <t>Alessandro</t>
  </si>
  <si>
    <t>Istruttore di nuoto</t>
  </si>
  <si>
    <t xml:space="preserve">“I tifosi olandesi vestiti tutti d’arancione hanno portato colore e gioia alla città.”
</t>
  </si>
  <si>
    <t>L’intervista è molto ricca, ma il suo nucleo più forte è la percezione delle Olimpiadi come atmosfera positiva, diffusa e memorabile nella città. Alessandro parla di un’esperienza urbana fatta di colore, gioia, apertura e vitalità, più che di partecipazione diretta agli eventi. Per questo la categoria principale è Celebrazione. Tuttavia, l’intervista può essere riutilizzata anche per parlare di apertura culturale, percezione dello spazio urbano e legacy sociale.
“L’atmosfera era unica.”
“I tifosi olandesi vestiti tutti d’arancione ai Navigli. Hanno portato colore e gioia alla città.”
“Sorriso.”
“Penso più apertura verso l’esterno.”
“Questo crea comunità ed è di grande valore.”
“Bisogna formare persone, non solo atleti.”</t>
  </si>
  <si>
    <t>Audio
3 Foto</t>
  </si>
  <si>
    <t>Giulia e Francesco</t>
  </si>
  <si>
    <t>Lavoratrice per la cerimonia d’apertura</t>
  </si>
  <si>
    <t>“At the end of the day, the Olympics bring together things that normally don’t have a relationship.”</t>
  </si>
  <si>
    <t>Il nucleo più forte del racconto non è la partecipazione sportiva diretta, ma il significato simbolico, culturale e rappresentativo delle Olimpiadi. Giulia parla del lavoro fatto per la cerimonia d’apertura come tentativo di raccontare lo “spirito italiano” a un pubblico internazionale, mentre Francesco descrive l’evento come qualcosa che attiva discussioni, immaginari e attenzione pubblica attorno alla città. Le Olimpiadi vengono quindi vissute soprattutto come grande dispositivo simbolico: un evento capace di mettere insieme culture, corpi, territori e visioni diverse, creando uno spazio condiviso temporaneo che va oltre la dimensione sportiva.
“Trying to celebrate the Italian spirit in a way that could also be understood internationally.”
“At the end of the day, the Olympics bring together things that normally don’t have a relationship.”
“It creates a kind of shared space, a temporary common ground.”
“I did see a lot of athletes in the streets and on public transport, and that was exciting.”
“The impact I noticed most was related to traffic and parking.”
“It would be a personal memory, something you build for yourself through the people you meet and the experience you have.”</t>
  </si>
  <si>
    <t>2 Audio</t>
  </si>
  <si>
    <t>Manuel</t>
  </si>
  <si>
    <t>“Un’atmosfera quasi ‘magica’, che forse solo le Olimpiadi riescono a creare.”</t>
  </si>
  <si>
    <t>Sebbene senza una partecipazione diretta agli eventi, Manuel ricorda le Olimpiadi soprattutto come atmosfera positiva, diffusa e speciale nella città. Il nucleo più forte del suo racconto non è il disagio logistico, che viene percepito come limitato e temporaneo, ma il clima generale: una Milano più internazionale, rilassata, piena di turisti e attraversata da un’energia che lui stesso definisce quasi “magica”. Anche il giudizio complessivo sull’evento è positivo, sia per l’immagine della città sia per il senso di eccezionalità che le Olimpiadi hanno saputo creare.
“C’era un clima abbastanza rilassato e anche felice.”
“Un’atmosfera quasi ‘magica’, che forse solo le Olimpiadi riescono a creare.”
“Il ricordo principale è proprio questo clima generale.”
“Milano ha dato un’impressione molto positiva ai turisti.”
“La metro aperta fino alle due sarebbe interessante mantenerla.”
“Sì, magari uscendo la sera mi è capitato di parlare con qualche turista, ma giusto chiacchiere occasionali.”</t>
  </si>
  <si>
    <t>Volontaria 5</t>
  </si>
  <si>
    <t>Più che una comunità</t>
  </si>
  <si>
    <t>Nelle venue olimpiche è facile parlare con chiunque, anche con sconosciuti. Prima delle gare si crea un clima di apertura e condivisione, quasi come una grande famiglia olimpica.
All’interno delle venue olimpiche descrive una forte atmosfera di comunità, di famiglia.
Questa percezione è legata al contesto: nei momenti prima delle gare, quando le persone aspettano insieme, si crea un clima di apertura e condivisione.
Non è legata a una relazione specifica, ma a una dimensione collettiva e temporanea.</t>
  </si>
  <si>
    <t>Dormitorio 1</t>
  </si>
  <si>
    <t>Atmosfera felice</t>
  </si>
  <si>
    <t>Ho seguito le Olimpiadi attraverso la TV e internet. Anche senza partecipare direttamente, l’atmosfera mi è sembrata molto positiva e collettiva.
.
Nonostante non abbia partecipato direttamente, conserva una percezione positiva dell’evento come momento collettivo.</t>
  </si>
  <si>
    <t>Dormitorio 2</t>
  </si>
  <si>
    <t>Serve poco per sentirsi coinvolti</t>
  </si>
  <si>
    <t>Ho assistito a una gara di pattinaggio dal vivo e ho seguito altri momenti online. L’atmosfera era interessante e coinvolgente, anche senza vivere tutto l’evento in prima persona.</t>
  </si>
  <si>
    <t>Risposta 12</t>
  </si>
  <si>
    <t>Gli occhi non mentono</t>
  </si>
  <si>
    <t>Durante le Olimpiadi ho visto e percepito l'emozione, il sacrificio, la forza, la determinazione, la fatica, la grinta e la grande passione negli occhi di quei giovani ragazzi.</t>
  </si>
  <si>
    <t>Risposta 29</t>
  </si>
  <si>
    <t>Condividere momenti con gli amici</t>
  </si>
  <si>
    <t>Non ho seguito le Olimpiadi, ma vedere i miei amici che si emozionavano per gli sport più disparati é stato divertente. Ho scoperto quanto può essere interessante il curling.</t>
  </si>
  <si>
    <t>Risposta 52</t>
  </si>
  <si>
    <t>Storie difficili di atleti unici</t>
  </si>
  <si>
    <t>Queste Olimpiadi sono state caratterizzate da tanta umanità. Quello che più mi è rimasto sono state le storie personali degli atleti e di come si sono risollevati dai momenti difficili.</t>
  </si>
  <si>
    <t>Risposta 84</t>
  </si>
  <si>
    <t>Nuove scoperte invernali</t>
  </si>
  <si>
    <t>La mia esperienza delle Olimpiadi 2026 è stata tranquilla, poco coinvolta ma sono rimasta colpita dal fascino rappresentativo dell'inverno. Mi sono rimaste le informazioni di alcuni atleti olimpici e soprattutto un maggiore interesse verso sport invernali.</t>
  </si>
  <si>
    <t>Risposta 89</t>
  </si>
  <si>
    <t>Tutti gli sport sono importanti</t>
  </si>
  <si>
    <t>I giochi olimpici invernali Milano-Cortina 2026 sono stati per Milano la piú grande occasione di visibilità, finanziamenti e divertimento. Durante queste Olimpiadi mi sono reso conto che alcuni sport vengono ingiustamente considerati più rilevanti di altri (sci di fondo e biathlon).</t>
  </si>
  <si>
    <t>Luca</t>
  </si>
  <si>
    <t>Orgoglio nazionale e globale</t>
  </si>
  <si>
    <t>Ho seguito le Olimpiadi invernali principalmente su TikTok e mi hanno trasmesso orgoglio nazionale, senso di appartenenza a qualcosa di globale e voglia di fare sport.</t>
  </si>
  <si>
    <t>Risposta 98</t>
  </si>
  <si>
    <t>Gioia e momenti divertenti</t>
  </si>
  <si>
    <r>
      <rPr>
        <rFont val="Arial"/>
        <color theme="1"/>
      </rPr>
      <t xml:space="preserve">La parola che descrive al meglio le Olimpiadi invernali 2026 è </t>
    </r>
    <r>
      <rPr>
        <rFont val="Arial"/>
        <b/>
        <color theme="1"/>
      </rPr>
      <t>CELEBRAZIONE</t>
    </r>
    <r>
      <rPr>
        <rFont val="Arial"/>
        <color theme="1"/>
      </rPr>
      <t>. Mi è rimasto impresso il momento in cui il cane di nome Nazgul che ha invaso la pista arrivando al terzo posto.</t>
    </r>
  </si>
  <si>
    <t>Risposta 8</t>
  </si>
  <si>
    <t>Le Olimpiadi rappresentano per me un momento di condivisione e spirito competitivo che non provavo da molto tempo.</t>
  </si>
  <si>
    <t>Risposta 11</t>
  </si>
  <si>
    <t>Se dovessi descrivere la mia esperienza delle Olimpiadi con una frase sarebbe orgoglio nazionale.</t>
  </si>
  <si>
    <t>Risposta 14</t>
  </si>
  <si>
    <t>Se dovessi descrivere la mia esperienza delle Olimpiadi con una parola sarebbe unità.</t>
  </si>
  <si>
    <t>Risposta 16</t>
  </si>
  <si>
    <t>La mia esperienza delle Olimpiadi è stata un mix tra Unità, Sport, Arte e Italia.</t>
  </si>
  <si>
    <t>Risposta 17</t>
  </si>
  <si>
    <t>I giochi Olimpici sono sempre l’esempio di come dovrebbe essere vissuto lo sport, sia dagli atleti che dai tifosi.</t>
  </si>
  <si>
    <t>Risposta 20</t>
  </si>
  <si>
    <t>Le Olimpiadi Milano-Cortina 2026 sono state divertenti.</t>
  </si>
  <si>
    <t>Risposta 22</t>
  </si>
  <si>
    <t>Le Olimpiadi non mi interessano molto, ma mi sono rimaste storie di atleti, principalmente quelle che sui social sono state raccontate di più.</t>
  </si>
  <si>
    <t>Risposta 23</t>
  </si>
  <si>
    <t>Le Olimpiadi sono state splendide, quello che più mi è rimasto è stata la passione delle atlete italiane.</t>
  </si>
  <si>
    <t>Risposta 24</t>
  </si>
  <si>
    <t>è stato interessante seguire le Olimpiadi, conoscere nuove sport e nuovi atleti.</t>
  </si>
  <si>
    <t>Risposta 25</t>
  </si>
  <si>
    <t>Quello che più mi è rimasto delle Olimpiadi sono state le imprese di Federica Brignone.</t>
  </si>
  <si>
    <t>Risposta 26</t>
  </si>
  <si>
    <t>Prima di queste Olimpiadi non pensavo che il curling fosse così interessante.</t>
  </si>
  <si>
    <t>Risposta 32</t>
  </si>
  <si>
    <t>Le Olimpiadi sono uno dei momenti più attesi sia da parte degli atleti che dagli amanti dello sport. Mi è rimasto un mix di tutte le gare viste e medaglie conquistate.</t>
  </si>
  <si>
    <t>Bisù</t>
  </si>
  <si>
    <t>Ciò che più mi è rimasto dopo le Olimpiadi Milano-Cortina 2026 è l’orgoglio nazionale.</t>
  </si>
  <si>
    <t>Risposta 36</t>
  </si>
  <si>
    <t>Le Olimpiadi mi hanno lasciato tante emozioni.</t>
  </si>
  <si>
    <t>Risposta 38</t>
  </si>
  <si>
    <t>Queste Olimpiadi sono state una grande festa dello sport.</t>
  </si>
  <si>
    <t>Risposta 39</t>
  </si>
  <si>
    <t>le mie Olimpiadi sono state fatte di ascolto: mi sono lasciata coinvolgere dai racconti degli altri senza mai guardare una gara.</t>
  </si>
  <si>
    <t>Risposta 43</t>
  </si>
  <si>
    <t>La mia esperienza di queste Olimpiadi è stata meravigliosa.</t>
  </si>
  <si>
    <t>Risposta 45</t>
  </si>
  <si>
    <t>Quello che più mi è rimasto di queste Olimpiadi è un senso di sportività molto forte.</t>
  </si>
  <si>
    <t>Risposta 47</t>
  </si>
  <si>
    <t>Le Olimpiadi Milano-Cortina 2026 hanno unito tutto il mondo.</t>
  </si>
  <si>
    <t>Risposta 48</t>
  </si>
  <si>
    <t>La parola rappresentativa delle Olimpiadi Invernali è unione.</t>
  </si>
  <si>
    <t>Paul</t>
  </si>
  <si>
    <t>Le Olimpiadi sono state emozionanti. Quello che più mi è rimasto sono le vittorie della Brignone.</t>
  </si>
  <si>
    <t>Risposta 50</t>
  </si>
  <si>
    <t>In queste Olimpiadi mi sono emozionata per il pattinaggio di coppia.</t>
  </si>
  <si>
    <t>Risposta 53</t>
  </si>
  <si>
    <t>Queste Olimpiadi mi hanno fatto capire che lo sport unisce le persone e da esso si può imparare molto.</t>
  </si>
  <si>
    <t>Risposta 54</t>
  </si>
  <si>
    <t>Delle Olimpiadi Invernali mi sono rimasti alcuni discorsi degli atleti.</t>
  </si>
  <si>
    <t>Risposta 59</t>
  </si>
  <si>
    <t>Ciò che è rimasto dopo le Olimpiadi è la vittoria di Alysa Liu.</t>
  </si>
  <si>
    <t>Risposta 61</t>
  </si>
  <si>
    <t>Ogni Olimpiade che guardo è sempre migliore della precedente.</t>
  </si>
  <si>
    <t>Risposta 62</t>
  </si>
  <si>
    <t>Queste Olimpiadi sono state coinvolgenti.</t>
  </si>
  <si>
    <t>Risposta 63</t>
  </si>
  <si>
    <t>Le Olimpiadi mi hanno lasciato gioia, felicità e la soddisfazione di aver visto la Brignone vincere l’oro dopo un infortunio.</t>
  </si>
  <si>
    <t>Risposta 68</t>
  </si>
  <si>
    <t>Sono rimasto soddisfatto dalle Olimpiadi, ciò che più mi è rimasto è stata la competitività degli atleti italiani in quasi tutti gli sport.</t>
  </si>
  <si>
    <t>Risposta 70</t>
  </si>
  <si>
    <t>Che emozione queste Olimpiadi!</t>
  </si>
  <si>
    <t>Risposta 74</t>
  </si>
  <si>
    <t>Bellissimo.</t>
  </si>
  <si>
    <t>Risposta 79</t>
  </si>
  <si>
    <t>Le Olimpiadi 2026 sono state curiose ma veloci (non sono durate molto).</t>
  </si>
  <si>
    <t>Risposta 81</t>
  </si>
  <si>
    <t>Le Olimpiadi invernali 2026 sono state ricche di entusiasmo.</t>
  </si>
  <si>
    <t>Risposta 85</t>
  </si>
  <si>
    <t>Le Olimpiadi sono state entusiasmanti. Quello che più mi è rimasto sono le due partite di hockey a cui ho assistito.</t>
  </si>
  <si>
    <t>Risposta 87</t>
  </si>
  <si>
    <t>Le Olimpiadi  mi hanno permesso di scoprire sport nuovi e vedere gente che fa cose spettacolari.</t>
  </si>
  <si>
    <t>Risposta 91</t>
  </si>
  <si>
    <t>Le Olimpiadi hanno rappresentato un momento di unione di popoli ed etnie nonostante le guerre.</t>
  </si>
  <si>
    <t>Risposta 96</t>
  </si>
  <si>
    <t>Ciò che più mi è rimasto di queste Olimpiadi sono le medaglie d'oro della Brignone.</t>
  </si>
  <si>
    <t>Iginio</t>
  </si>
  <si>
    <t>Queste Olimpiadi mi hanno trasmesso potenza</t>
  </si>
  <si>
    <t>4-60</t>
  </si>
  <si>
    <t>Risposta 99</t>
  </si>
  <si>
    <t>I giochi sono stati emozionanti.</t>
  </si>
  <si>
    <t>4-61</t>
  </si>
  <si>
    <t>Giulia</t>
  </si>
  <si>
    <t>Studentessa</t>
  </si>
  <si>
    <t>Ciò che più mi ricorderò di queste Olimpiadi è Alysa Liu icona mondiale.</t>
  </si>
  <si>
    <t>5.1</t>
  </si>
  <si>
    <t>Signore con cane</t>
  </si>
  <si>
    <t>Abitante vicino Castello Sforzesco</t>
  </si>
  <si>
    <t>“C’è stata grande aspettativa, che però non è stata rispettata.”</t>
  </si>
  <si>
    <t>Pur non avendo seguito l’evento, ha percepito alcuni disagi concreti, come traffico e chiusure stradali. Allo stesso tempo, riconosce che le Olimpiadi potevano essere un’opportunità economica e urbana, ma secondo lui non sono state sfruttate bene.
“Le Olimpiadi sarebbero state un’opportunità, ma non è stata sfruttata al massimo.”
“C’è stata grande aspettativa, che però non è stata rispettata.”</t>
  </si>
  <si>
    <t>5.2</t>
  </si>
  <si>
    <t>Video
Audio</t>
  </si>
  <si>
    <t>Remo Berto</t>
  </si>
  <si>
    <t>Nonno pensionato</t>
  </si>
  <si>
    <t>“Da cittadino, forse più un disagio.”</t>
  </si>
  <si>
    <t>L’intervista mostra una percezione prevalentemente negativa dell’impatto urbano delle Olimpiadi. Il principale effetto percepito è stato l’aumento del caos in centro, con difficoltà negli spostamenti, traffico e una città vissuta come più impraticabile. Tuttavia, resta anche una traccia di partecipazione simbolica attraverso il piacere di seguire lo sci e la soddisfazione per le medaglie vinte dagli atleti italiani.
“Da cittadino, forse più un disagio.”
“Le poche volte che mi è capitato di andarci, diventava quasi impraticabile: non si riusciva a camminare, un macello insomma.”
“Sono stato davvero contento per le medaglie vinte.”</t>
  </si>
  <si>
    <t>5.3</t>
  </si>
  <si>
    <t>Paolo</t>
  </si>
  <si>
    <t>“È stata una bella festa. L’unico problema grosso sono state le macchine.”</t>
  </si>
  <si>
    <t>L'aspetto più forte del racconto riguarda i disagi causati dalla gestione del traffico durante le Olimpiadi. Paolo descrive una zona invasa dalle auto, con parcheggi inesistenti, ingorghi e forti difficoltà per i residenti. Allo stesso tempo, riconosce anche il lato positivo dell’evento, definendolo una festa e sottolineando i benefici per le attività commerciali. Proprio per questo il caso è interessante: non rifiuta l’evento in sé, ma critica in modo molto concreto la sua gestione locale.
“Hanno creato ingorghi in questa zona che, per noi residenti, sono stati terribili. Roba da dimenticare.”
“C’era gente imbottigliata per ore a cercare parcheggio che non c’era.”
“È stata una bella festa. L’unico problema grosso sono state le macchine.”</t>
  </si>
  <si>
    <t>5.4</t>
  </si>
  <si>
    <t>Nati per Vivere a Milano - Paul Pablo</t>
  </si>
  <si>
    <t xml:space="preserve">“La parola chiave per me è esclusione”
</t>
  </si>
  <si>
    <t>Il tema dominante è l’esclusione. Paul Pablo non critica solo alcuni aspetti organizzativi, ma mette in discussione il rapporto stesso tra l’evento e chi vive Milano. Nel suo racconto, le Olimpiadi sono state troppo costose, poco accessibili, poco autentiche e lontane dalla vita reale della città. Le spille non vengono percepite come strumento di relazione, ma come semplice oggetto da possedere. Anche i creator locali, che avrebbero potuto aiutare a coinvolgere davvero i cittadini, sono stati lasciati fuori. La critica si allarga poi anche alla separazione delle Paralimpiadi, vissuta come un segnale di disparità. Per questo la parola chiave non è celebrazione, ma distanza: un evento grande, visibile, ma poco condiviso da chi la città la vive ogni giorno.
“La parola chiave per me è: esclusione, non inclusione.”
“Non è stato rispettato il fatto che esistono cittadini che vivono questa città.”
“Tutto questo ha reso l’evento lontano da chi vive a Milano.”
“È stato più un fenomeno social.”
“Non era importante lo scambio tra persone, ma possederli.”
“La cerimonia è stata una noia mortale.”
“Le Paralimpiadi così non le ha viste praticamente nessuno.”</t>
  </si>
  <si>
    <t>5.5</t>
  </si>
  <si>
    <t>Abitante del posto</t>
  </si>
  <si>
    <t>Generalmente non segue lo sport; se l'evento non fosse stato a Milano, non ne avrebbe saputo nulla. Ha vissuto i cambiamenti più come un disagio, citando problemi di traffico e chiusure stradali per tornare a casa. Ritiene che le Olimpiadi siano state un'opportunità non sfruttata appieno dalla città, lamentando cantieri incompiuti.  Considera il turismo un'opportunità economica e non un'aggressione, nonostante la costante "invasione" nella sua zona.</t>
  </si>
  <si>
    <t>5.6</t>
  </si>
  <si>
    <t>Volontaria 6</t>
  </si>
  <si>
    <t>Questione di carattere</t>
  </si>
  <si>
    <t>Le spille possono aiutare le persone a parlare tra loro, ma non sempre creano un vero senso di comunità. Molto dipende dall’atteggiamento individuale e dalla voglia di essere estroversi.
Questa volontaria introduce una forte ambivalenza: in alcuni momenti le persone parlano tra loro grazie alle spille, ma spesso le interazioni sono veloci, superficiali e poco memorabili
Dice chiaramente che:
- non sempre si crea un vero senso di comunità
- tutto dipende dall’atteggiamento individuale
Quindi il sistema funziona, ma non garantisce relazioni reali.</t>
  </si>
  <si>
    <t>5.7</t>
  </si>
  <si>
    <t>Dormitorio 8</t>
  </si>
  <si>
    <t>Turisti poco socievoli</t>
  </si>
  <si>
    <t>L’atmosfera mi è sembrata molto caotica. I turisti erano più un elemento di disturbo che una vera opportunità di incontro.</t>
  </si>
  <si>
    <t>5.8</t>
  </si>
  <si>
    <t>Dormitorio 9</t>
  </si>
  <si>
    <t>Spille come semplici oggetti</t>
  </si>
  <si>
    <t>Non ho scambiato nessuna spilla e per me le spille restano soprattutto oggetti da collezione. Non credo che creino necessariamente relazioni vere.
Introduce una critica diretta al sistema di interazione.</t>
  </si>
  <si>
    <t>5.9</t>
  </si>
  <si>
    <t>Dormitorio 10</t>
  </si>
  <si>
    <t>Olimpiadi utopiche</t>
  </si>
  <si>
    <t>Non ho seguito molto le Olimpiadi e non ho partecipato ad attività legate all’evento. Per me sono rimaste abbastanza lontane dalla vita quotidiana.
Non ha seguito le Olimpiadi e dichiara scarso interesse.
Non ha partecipato a nessuna attività e non percepisce benefici concreti.</t>
  </si>
  <si>
    <t>Risposta 9</t>
  </si>
  <si>
    <t>Università chiuse, stadi aperti</t>
  </si>
  <si>
    <t>Le Olimpiadi hanno cambiato un po’ il modo in cui ho vissuto la città di Milano perché hanno chiuso le università e ho perso delle lezioni. Le Olimpiadi sono state un evento noioso.</t>
  </si>
  <si>
    <t>Risposta 57</t>
  </si>
  <si>
    <t>Un intralcio per chi studia</t>
  </si>
  <si>
    <t>Le Olimpiadi hanno cambiato il modo in cui ho vissuto la città di Milano, perché la viabilità veniva bloccata, e i trasporti rallentati o chiusi per alcune ore. Addirittura l’accesso alla mia università, la Bicocca, è stato impossibilitato per alcune ore per il passaggio della fiaccola olimpica.</t>
  </si>
  <si>
    <t>Anna</t>
  </si>
  <si>
    <t>Enormi sprechi e speculazioni economiche</t>
  </si>
  <si>
    <t>Io e le Olimpiadi siamo come due rette parallele, mi hanno trasmesso solo enormi sprechi, grandissime speculazioni economiche da parte di aziende e sponsor. Ho solo visto una partita di hockey dal vivo.</t>
  </si>
  <si>
    <t>Risposta 93</t>
  </si>
  <si>
    <t>Olimpiadi rapide e passeggere</t>
  </si>
  <si>
    <t>Non ho mai avuto particolare interesse per gli sport invernali, le olimpiadi sono state un’occasione interessante per scoprirli meglio ma mi sono sembrate troppo rapide e passeggere per lasciare effettivamente qualcosa.</t>
  </si>
  <si>
    <t>Thomas</t>
  </si>
  <si>
    <t>Lavoro infinito e zero salute mentale</t>
  </si>
  <si>
    <t>Non volevo seguire le Olimpiadi, ma è impossibile, in qualche modo le segui. Mi è capitato di interagire qualche volta con persone nuove grazie alle Olimpiadi a causa del mio lavoro. Mi hanno trasmesso fastidio a causa dei 100 disagi causati in una città in cui ce ne sono già troppi. Mi è rimasta la mole di lavoro infinita e la perdita della salute mentale.</t>
  </si>
  <si>
    <t>Risposta 10</t>
  </si>
  <si>
    <t>Le Olimpiadi non mi hanno appassionato particolarmente.</t>
  </si>
  <si>
    <t>Risposta 13</t>
  </si>
  <si>
    <t>Finalmente sono finite le Olimpiadi.</t>
  </si>
  <si>
    <t>Risposta 18</t>
  </si>
  <si>
    <t>Non ho sentito le Olimpiadi.</t>
  </si>
  <si>
    <t>Risposta 27</t>
  </si>
  <si>
    <t>Ho trovato queste Olimpiadi vuote.</t>
  </si>
  <si>
    <t>Risposta 82</t>
  </si>
  <si>
    <t>Non mi sono sentita coinvolta.</t>
  </si>
  <si>
    <t>Risposta 86</t>
  </si>
  <si>
    <t>Le Olimpiadi hanno cambiato il modo in cui ho vissuto la città di Milano, in particolare per il traffico.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</si>
</sst>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26">
    <font>
      <sz val="10.0"/>
      <color rgb="FF000000"/>
      <name val="Arial"/>
      <scheme val="minor"/>
    </font>
    <font>
      <sz val="40.0"/>
      <color theme="1"/>
      <name val="Arial"/>
      <scheme val="minor"/>
    </font>
    <font>
      <color theme="1"/>
      <name val="Arial"/>
      <scheme val="minor"/>
    </font>
    <font>
      <b/>
      <color theme="1"/>
      <name val="Arial"/>
      <scheme val="minor"/>
    </font>
    <font>
      <b/>
      <color theme="1"/>
      <name val="Arial"/>
    </font>
    <font>
      <color theme="1"/>
      <name val="Arial"/>
    </font>
    <font>
      <b/>
      <sz val="11.0"/>
      <color rgb="FF000000"/>
      <name val="&quot;Helvetica Neue&quot;"/>
    </font>
    <font/>
    <font>
      <b/>
      <sz val="15.0"/>
      <color rgb="FF000000"/>
      <name val="&quot;Helvetica Neue&quot;"/>
    </font>
    <font>
      <sz val="10.0"/>
      <color rgb="FF000000"/>
      <name val="&quot;Helvetica Neue&quot;"/>
    </font>
    <font>
      <u/>
      <sz val="12.0"/>
      <color rgb="FF000000"/>
    </font>
    <font>
      <b/>
      <sz val="15.0"/>
      <color theme="1"/>
      <name val="&quot;Helvetica Neue&quot;"/>
    </font>
    <font>
      <sz val="10.0"/>
      <color theme="1"/>
      <name val="Arial"/>
      <scheme val="minor"/>
    </font>
    <font>
      <sz val="10.0"/>
      <color theme="1"/>
      <name val="&quot;Helvetica Neue&quot;"/>
    </font>
    <font>
      <b/>
      <u/>
      <sz val="11.0"/>
      <color rgb="FF000000"/>
      <name val="&quot;Helvetica Neue&quot;"/>
    </font>
    <font>
      <b/>
      <sz val="10.0"/>
      <color rgb="FF000000"/>
      <name val="&quot;Helvetica Neue&quot;"/>
    </font>
    <font>
      <color rgb="FF000000"/>
      <name val="Arial"/>
      <scheme val="minor"/>
    </font>
    <font>
      <sz val="8.0"/>
      <color rgb="FF000000"/>
      <name val="&quot;Helvetica Neue&quot;"/>
    </font>
    <font>
      <b/>
      <sz val="11.0"/>
      <color theme="1"/>
      <name val="Helvetica Neue"/>
    </font>
    <font>
      <u/>
      <sz val="12.0"/>
      <color rgb="FF000000"/>
    </font>
    <font>
      <b/>
      <sz val="15.0"/>
      <color theme="1"/>
      <name val="Helvetica Neue"/>
    </font>
    <font>
      <color theme="1"/>
      <name val="Helvetica Neue"/>
    </font>
    <font>
      <sz val="10.0"/>
      <color theme="1"/>
      <name val="Helvetica Neue"/>
    </font>
    <font>
      <sz val="10.0"/>
      <color theme="1"/>
      <name val="Arial"/>
    </font>
    <font>
      <sz val="12.0"/>
      <color rgb="FF000000"/>
      <name val="Arial"/>
      <scheme val="minor"/>
    </font>
    <font>
      <u/>
      <sz val="12.0"/>
      <color rgb="FF000000"/>
      <name val="Arial"/>
      <scheme val="minor"/>
    </font>
  </fonts>
  <fills count="8">
    <fill>
      <patternFill patternType="none"/>
    </fill>
    <fill>
      <patternFill patternType="lightGray"/>
    </fill>
    <fill>
      <patternFill patternType="solid">
        <fgColor rgb="FFFC6565"/>
        <bgColor rgb="FFFC6565"/>
      </patternFill>
    </fill>
    <fill>
      <patternFill patternType="solid">
        <fgColor rgb="FFFEFF65"/>
        <bgColor rgb="FFFEFF65"/>
      </patternFill>
    </fill>
    <fill>
      <patternFill patternType="solid">
        <fgColor rgb="FFCCFF65"/>
        <bgColor rgb="FFCCFF65"/>
      </patternFill>
    </fill>
    <fill>
      <patternFill patternType="solid">
        <fgColor rgb="FF66FFFF"/>
        <bgColor rgb="FF66FFFF"/>
      </patternFill>
    </fill>
    <fill>
      <patternFill patternType="solid">
        <fgColor rgb="FFCC66FF"/>
        <bgColor rgb="FFCC66FF"/>
      </patternFill>
    </fill>
    <fill>
      <patternFill patternType="solid">
        <fgColor rgb="FFFFFFFF"/>
        <bgColor rgb="FFFFFFFF"/>
      </patternFill>
    </fill>
  </fills>
  <borders count="16">
    <border/>
    <border>
      <left style="thin">
        <color rgb="FF9A9A9A"/>
      </left>
      <right style="thin">
        <color rgb="FF9A9A9A"/>
      </right>
      <top style="thin">
        <color rgb="FF9A9A9A"/>
      </top>
      <bottom style="thin">
        <color rgb="FF9A9A9A"/>
      </bottom>
    </border>
    <border>
      <left style="thin">
        <color rgb="FF9A9A9A"/>
      </left>
      <top style="thin">
        <color rgb="FF9A9A9A"/>
      </top>
      <bottom style="thin">
        <color rgb="FF9A9A9A"/>
      </bottom>
    </border>
    <border>
      <top style="thin">
        <color rgb="FF9A9A9A"/>
      </top>
      <bottom style="thin">
        <color rgb="FF9A9A9A"/>
      </bottom>
    </border>
    <border>
      <right style="thin">
        <color rgb="FF9A9A9A"/>
      </right>
      <top style="thin">
        <color rgb="FF9A9A9A"/>
      </top>
      <bottom style="thin">
        <color rgb="FF9A9A9A"/>
      </bottom>
    </border>
    <border>
      <left style="thin">
        <color rgb="FF9A9A9A"/>
      </left>
      <right style="thin">
        <color rgb="FF9A9A9A"/>
      </right>
      <top style="thin">
        <color rgb="FF9A9A9A"/>
      </top>
    </border>
    <border>
      <left style="thin">
        <color rgb="FF9A9A9A"/>
      </left>
      <top style="thin">
        <color rgb="FF9A9A9A"/>
      </top>
    </border>
    <border>
      <top style="thin">
        <color rgb="FF9A9A9A"/>
      </top>
    </border>
    <border>
      <right style="thin">
        <color rgb="FF9A9A9A"/>
      </right>
      <top style="thin">
        <color rgb="FF9A9A9A"/>
      </top>
    </border>
    <border>
      <left style="thin">
        <color rgb="FF9A9A9A"/>
      </left>
      <bottom style="thin">
        <color rgb="FF9A9A9A"/>
      </bottom>
    </border>
    <border>
      <right style="thin">
        <color rgb="FF9A9A9A"/>
      </right>
      <bottom style="thin">
        <color rgb="FF9A9A9A"/>
      </bottom>
    </border>
    <border>
      <left style="thin">
        <color rgb="FF9A9A9A"/>
      </left>
      <right style="thin">
        <color rgb="FF9A9A9A"/>
      </right>
      <bottom style="thin">
        <color rgb="FF9A9A9A"/>
      </bottom>
    </border>
    <border>
      <bottom style="thin">
        <color rgb="FF9A9A9A"/>
      </bottom>
    </border>
    <border>
      <left style="thin">
        <color rgb="FF9A9A9A"/>
      </left>
      <right style="thin">
        <color rgb="FF9A9A9A"/>
      </right>
    </border>
    <border>
      <left style="thin">
        <color rgb="FF9A9A9A"/>
      </left>
    </border>
    <border>
      <right style="thin">
        <color rgb="FF9A9A9A"/>
      </right>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2" fontId="2" numFmtId="0" xfId="0" applyAlignment="1" applyFill="1" applyFont="1">
      <alignment readingOrder="0" shrinkToFit="0" vertical="top" wrapText="1"/>
    </xf>
    <xf borderId="0" fillId="3" fontId="2"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5" fontId="2" numFmtId="0" xfId="0" applyAlignment="1" applyFill="1" applyFont="1">
      <alignment readingOrder="0" shrinkToFit="0" vertical="top" wrapText="1"/>
    </xf>
    <xf borderId="0" fillId="6" fontId="2" numFmtId="0" xfId="0" applyAlignment="1" applyFill="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2" fontId="5" numFmtId="0" xfId="0" applyAlignment="1" applyFont="1">
      <alignment readingOrder="0" vertical="top"/>
    </xf>
    <xf borderId="0" fillId="2" fontId="5" numFmtId="0" xfId="0" applyAlignment="1" applyFont="1">
      <alignment horizontal="right" shrinkToFit="0" vertical="top" wrapText="1"/>
    </xf>
    <xf borderId="0" fillId="0" fontId="5" numFmtId="0" xfId="0" applyAlignment="1" applyFont="1">
      <alignment horizontal="right" readingOrder="0" shrinkToFit="0" vertical="top" wrapText="1"/>
    </xf>
    <xf borderId="0" fillId="0" fontId="5" numFmtId="0" xfId="0" applyAlignment="1" applyFont="1">
      <alignment readingOrder="0" vertical="top"/>
    </xf>
    <xf borderId="0" fillId="3" fontId="5" numFmtId="0" xfId="0" applyAlignment="1" applyFont="1">
      <alignment readingOrder="0" vertical="top"/>
    </xf>
    <xf borderId="0" fillId="0" fontId="5" numFmtId="0" xfId="0" applyAlignment="1" applyFont="1">
      <alignment vertical="top"/>
    </xf>
    <xf borderId="0" fillId="4" fontId="5" numFmtId="0" xfId="0" applyAlignment="1" applyFont="1">
      <alignment readingOrder="0" vertical="top"/>
    </xf>
    <xf borderId="0" fillId="5" fontId="5" numFmtId="0" xfId="0" applyAlignment="1" applyFont="1">
      <alignment readingOrder="0" vertical="top"/>
    </xf>
    <xf borderId="0" fillId="6" fontId="5" numFmtId="0" xfId="0" applyAlignment="1" applyFont="1">
      <alignment readingOrder="0" vertical="top"/>
    </xf>
    <xf borderId="0" fillId="0" fontId="2" numFmtId="0" xfId="0" applyFont="1"/>
    <xf borderId="1" fillId="7" fontId="6" numFmtId="0" xfId="0" applyAlignment="1" applyBorder="1" applyFill="1" applyFont="1">
      <alignment readingOrder="0" shrinkToFit="0" vertical="top" wrapText="1"/>
    </xf>
    <xf borderId="2" fillId="7" fontId="6" numFmtId="0" xfId="0" applyAlignment="1" applyBorder="1" applyFont="1">
      <alignment readingOrder="0" shrinkToFit="0" vertical="top" wrapText="1"/>
    </xf>
    <xf borderId="3" fillId="0" fontId="7" numFmtId="0" xfId="0" applyBorder="1" applyFont="1"/>
    <xf borderId="4" fillId="0" fontId="7" numFmtId="0" xfId="0" applyBorder="1" applyFont="1"/>
    <xf borderId="5" fillId="2" fontId="8" numFmtId="0" xfId="0" applyAlignment="1" applyBorder="1" applyFont="1">
      <alignment horizontal="right" readingOrder="0" shrinkToFit="0" vertical="top" wrapText="1"/>
    </xf>
    <xf borderId="5" fillId="2" fontId="9" numFmtId="0" xfId="0" applyAlignment="1" applyBorder="1" applyFont="1">
      <alignment readingOrder="0" shrinkToFit="0" vertical="top" wrapText="1"/>
    </xf>
    <xf borderId="6" fillId="2" fontId="9" numFmtId="0" xfId="0" applyAlignment="1" applyBorder="1" applyFont="1">
      <alignment readingOrder="0" shrinkToFit="0" vertical="top" wrapText="1"/>
    </xf>
    <xf borderId="7" fillId="0" fontId="7" numFmtId="0" xfId="0" applyBorder="1" applyFont="1"/>
    <xf borderId="8" fillId="0" fontId="7" numFmtId="0" xfId="0" applyBorder="1" applyFont="1"/>
    <xf borderId="0" fillId="0" fontId="10" numFmtId="0" xfId="0" applyAlignment="1" applyFont="1">
      <alignment readingOrder="0" shrinkToFit="0" vertical="top" wrapText="1"/>
    </xf>
    <xf borderId="1" fillId="0" fontId="11" numFmtId="0" xfId="0" applyAlignment="1" applyBorder="1" applyFont="1">
      <alignment horizontal="right" readingOrder="0" shrinkToFit="0" vertical="top" wrapText="1"/>
    </xf>
    <xf borderId="0" fillId="0" fontId="12" numFmtId="0" xfId="0" applyAlignment="1" applyFont="1">
      <alignment readingOrder="0" shrinkToFit="0" vertical="top" wrapText="1"/>
    </xf>
    <xf borderId="5" fillId="0" fontId="13" numFmtId="0" xfId="0" applyAlignment="1" applyBorder="1" applyFont="1">
      <alignment readingOrder="0" shrinkToFit="0" vertical="top" wrapText="1"/>
    </xf>
    <xf borderId="0" fillId="0" fontId="13" numFmtId="0" xfId="0" applyAlignment="1" applyFont="1">
      <alignment readingOrder="0" shrinkToFit="0" vertical="top" wrapText="1"/>
    </xf>
    <xf borderId="2" fillId="7" fontId="14" numFmtId="0" xfId="0" applyAlignment="1" applyBorder="1" applyFont="1">
      <alignment readingOrder="0" shrinkToFit="0" vertical="top" wrapText="1"/>
    </xf>
    <xf borderId="9" fillId="0" fontId="8" numFmtId="0" xfId="0" applyAlignment="1" applyBorder="1" applyFont="1">
      <alignment readingOrder="0" vertical="top"/>
    </xf>
    <xf borderId="10" fillId="0" fontId="7" numFmtId="0" xfId="0" applyBorder="1" applyFont="1"/>
    <xf borderId="11" fillId="0" fontId="9" numFmtId="0" xfId="0" applyAlignment="1" applyBorder="1" applyFont="1">
      <alignment readingOrder="0" vertical="top"/>
    </xf>
    <xf borderId="11" fillId="0" fontId="0" numFmtId="0" xfId="0" applyAlignment="1" applyBorder="1" applyFont="1">
      <alignment vertical="top"/>
    </xf>
    <xf borderId="9" fillId="0" fontId="9" numFmtId="0" xfId="0" applyAlignment="1" applyBorder="1" applyFont="1">
      <alignment readingOrder="0" vertical="top"/>
    </xf>
    <xf borderId="12" fillId="0" fontId="7" numFmtId="0" xfId="0" applyBorder="1" applyFont="1"/>
    <xf borderId="1" fillId="2" fontId="8" numFmtId="0" xfId="0" applyAlignment="1" applyBorder="1" applyFont="1">
      <alignment horizontal="right" readingOrder="0" shrinkToFit="0" vertical="top" wrapText="1"/>
    </xf>
    <xf borderId="1" fillId="2" fontId="0" numFmtId="0" xfId="0" applyAlignment="1" applyBorder="1" applyFont="1">
      <alignment shrinkToFit="0" vertical="top" wrapText="1"/>
    </xf>
    <xf borderId="1" fillId="2" fontId="9" numFmtId="0" xfId="0" applyAlignment="1" applyBorder="1" applyFont="1">
      <alignment readingOrder="0" shrinkToFit="0" vertical="top" wrapText="1"/>
    </xf>
    <xf borderId="2" fillId="2" fontId="0" numFmtId="0" xfId="0" applyAlignment="1" applyBorder="1" applyFont="1">
      <alignment readingOrder="0" shrinkToFit="0" vertical="top" wrapText="1"/>
    </xf>
    <xf borderId="2" fillId="0" fontId="8" numFmtId="0" xfId="0" applyAlignment="1" applyBorder="1" applyFont="1">
      <alignment readingOrder="0" shrinkToFit="0" vertical="top" wrapText="1"/>
    </xf>
    <xf borderId="1" fillId="0" fontId="15" numFmtId="0" xfId="0" applyAlignment="1" applyBorder="1" applyFont="1">
      <alignment readingOrder="0" shrinkToFit="0" vertical="top" wrapText="1"/>
    </xf>
    <xf borderId="1" fillId="0" fontId="9" numFmtId="0" xfId="0" applyAlignment="1" applyBorder="1" applyFont="1">
      <alignment readingOrder="0" vertical="top"/>
    </xf>
    <xf borderId="1" fillId="0" fontId="0" numFmtId="0" xfId="0" applyAlignment="1" applyBorder="1" applyFont="1">
      <alignment vertical="top"/>
    </xf>
    <xf borderId="2" fillId="0" fontId="9" numFmtId="0" xfId="0" applyAlignment="1" applyBorder="1" applyFont="1">
      <alignment readingOrder="0" vertical="top"/>
    </xf>
    <xf borderId="1" fillId="2" fontId="0" numFmtId="0" xfId="0" applyAlignment="1" applyBorder="1" applyFont="1">
      <alignment vertical="top"/>
    </xf>
    <xf borderId="1" fillId="2" fontId="9" numFmtId="0" xfId="0" applyAlignment="1" applyBorder="1" applyFont="1">
      <alignment readingOrder="0" vertical="top"/>
    </xf>
    <xf borderId="2" fillId="2" fontId="9"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16" numFmtId="0" xfId="0" applyAlignment="1" applyBorder="1" applyFont="1">
      <alignment vertical="top"/>
    </xf>
    <xf borderId="1" fillId="0" fontId="17" numFmtId="0" xfId="0" applyAlignment="1" applyBorder="1" applyFont="1">
      <alignment readingOrder="0" vertical="top"/>
    </xf>
    <xf borderId="2" fillId="0" fontId="17" numFmtId="0" xfId="0" applyAlignment="1" applyBorder="1" applyFont="1">
      <alignment readingOrder="0" vertical="top"/>
    </xf>
    <xf borderId="2" fillId="0" fontId="16" numFmtId="0" xfId="0" applyAlignment="1" applyBorder="1" applyFont="1">
      <alignment readingOrder="0" vertical="top"/>
    </xf>
    <xf borderId="2" fillId="0" fontId="16" numFmtId="0" xfId="0" applyAlignment="1" applyBorder="1" applyFont="1">
      <alignment vertical="top"/>
    </xf>
    <xf borderId="1" fillId="0" fontId="16" numFmtId="0" xfId="0" applyAlignment="1" applyBorder="1" applyFont="1">
      <alignment readingOrder="0" vertical="top"/>
    </xf>
    <xf borderId="11" fillId="7" fontId="18" numFmtId="0" xfId="0" applyAlignment="1" applyBorder="1" applyFont="1">
      <alignment shrinkToFit="0" vertical="top" wrapText="1"/>
    </xf>
    <xf borderId="9" fillId="7" fontId="18" numFmtId="0" xfId="0" applyAlignment="1" applyBorder="1" applyFont="1">
      <alignment shrinkToFit="0" vertical="top" wrapText="1"/>
    </xf>
    <xf borderId="3" fillId="7" fontId="6" numFmtId="0" xfId="0" applyAlignment="1" applyBorder="1" applyFont="1">
      <alignment readingOrder="0" shrinkToFit="0" vertical="top" wrapText="1"/>
    </xf>
    <xf borderId="0" fillId="0" fontId="8" numFmtId="0" xfId="0" applyAlignment="1" applyFont="1">
      <alignment horizontal="right" readingOrder="0" shrinkToFit="0" vertical="top" wrapText="1"/>
    </xf>
    <xf borderId="0" fillId="0" fontId="0" numFmtId="0" xfId="0" applyAlignment="1" applyFont="1">
      <alignment shrinkToFit="0" vertical="top" wrapText="1"/>
    </xf>
    <xf borderId="0" fillId="0" fontId="9" numFmtId="0" xfId="0" applyAlignment="1" applyFont="1">
      <alignment readingOrder="0" shrinkToFit="0" vertical="top" wrapText="1"/>
    </xf>
    <xf borderId="0" fillId="0" fontId="19" numFmtId="0" xfId="0" applyAlignment="1" applyFont="1">
      <alignment readingOrder="0" shrinkToFit="0" wrapText="1"/>
    </xf>
    <xf borderId="2" fillId="0" fontId="20" numFmtId="0" xfId="0" applyAlignment="1" applyBorder="1" applyFont="1">
      <alignment vertical="top"/>
    </xf>
    <xf borderId="0" fillId="0" fontId="5" numFmtId="0" xfId="0" applyAlignment="1" applyFont="1">
      <alignment vertical="bottom"/>
    </xf>
    <xf borderId="0" fillId="0" fontId="5" numFmtId="0" xfId="0" applyAlignment="1" applyFont="1">
      <alignment vertical="bottom"/>
    </xf>
    <xf borderId="1" fillId="3" fontId="20" numFmtId="0" xfId="0" applyAlignment="1" applyBorder="1" applyFont="1">
      <alignment horizontal="right" readingOrder="0" shrinkToFit="0" vertical="top" wrapText="1"/>
    </xf>
    <xf borderId="1" fillId="3" fontId="5" numFmtId="0" xfId="0" applyAlignment="1" applyBorder="1" applyFont="1">
      <alignment vertical="top"/>
    </xf>
    <xf borderId="1" fillId="3" fontId="21" numFmtId="0" xfId="0" applyAlignment="1" applyBorder="1" applyFont="1">
      <alignment shrinkToFit="0" vertical="top" wrapText="1"/>
    </xf>
    <xf borderId="1" fillId="3" fontId="5" numFmtId="0" xfId="0" applyAlignment="1" applyBorder="1" applyFont="1">
      <alignment vertical="top"/>
    </xf>
    <xf borderId="2" fillId="3" fontId="5" numFmtId="0" xfId="0" applyAlignment="1" applyBorder="1" applyFont="1">
      <alignment shrinkToFit="0" vertical="top" wrapText="1"/>
    </xf>
    <xf borderId="1" fillId="3" fontId="21" numFmtId="0" xfId="0" applyAlignment="1" applyBorder="1" applyFont="1">
      <alignment shrinkToFit="0" vertical="top" wrapText="1"/>
    </xf>
    <xf borderId="2" fillId="0" fontId="20" numFmtId="0" xfId="0" applyAlignment="1" applyBorder="1" applyFont="1">
      <alignment shrinkToFit="0" vertical="top" wrapText="1"/>
    </xf>
    <xf borderId="1" fillId="3" fontId="5" numFmtId="0" xfId="0" applyAlignment="1" applyBorder="1" applyFont="1">
      <alignment shrinkToFit="0" vertical="top" wrapText="1"/>
    </xf>
    <xf borderId="2" fillId="3" fontId="5" numFmtId="0" xfId="0" applyAlignment="1" applyBorder="1" applyFont="1">
      <alignment shrinkToFit="0" vertical="top" wrapText="1"/>
    </xf>
    <xf borderId="1" fillId="3" fontId="5" numFmtId="0" xfId="0" applyAlignment="1" applyBorder="1" applyFont="1">
      <alignment shrinkToFit="0" vertical="top" wrapText="1"/>
    </xf>
    <xf borderId="1" fillId="0" fontId="5" numFmtId="0" xfId="0" applyAlignment="1" applyBorder="1" applyFont="1">
      <alignment vertical="top"/>
    </xf>
    <xf borderId="2" fillId="0" fontId="5" numFmtId="0" xfId="0" applyAlignment="1" applyBorder="1" applyFont="1">
      <alignment vertical="top"/>
    </xf>
    <xf borderId="5" fillId="3" fontId="20" numFmtId="0" xfId="0" applyAlignment="1" applyBorder="1" applyFont="1">
      <alignment horizontal="right" readingOrder="0" shrinkToFit="0" vertical="top" wrapText="1"/>
    </xf>
    <xf borderId="5" fillId="3" fontId="5" numFmtId="0" xfId="0" applyAlignment="1" applyBorder="1" applyFont="1">
      <alignment vertical="top"/>
    </xf>
    <xf borderId="5" fillId="3" fontId="21" numFmtId="0" xfId="0" applyAlignment="1" applyBorder="1" applyFont="1">
      <alignment shrinkToFit="0" vertical="top" wrapText="1"/>
    </xf>
    <xf borderId="5" fillId="3" fontId="5" numFmtId="0" xfId="0" applyAlignment="1" applyBorder="1" applyFont="1">
      <alignment vertical="top"/>
    </xf>
    <xf borderId="6" fillId="3" fontId="5" numFmtId="0" xfId="0" applyAlignment="1" applyBorder="1" applyFont="1">
      <alignment shrinkToFit="0" vertical="top" wrapText="1"/>
    </xf>
    <xf borderId="0" fillId="0" fontId="8" numFmtId="164" xfId="0" applyAlignment="1" applyFont="1" applyNumberFormat="1">
      <alignment readingOrder="0" shrinkToFit="0" vertical="top" wrapText="1"/>
    </xf>
    <xf borderId="0" fillId="0" fontId="21" numFmtId="0" xfId="0" applyAlignment="1" applyFont="1">
      <alignment shrinkToFit="0" vertical="top" wrapText="1"/>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8" numFmtId="0" xfId="0" applyAlignment="1" applyFont="1">
      <alignment readingOrder="0" shrinkToFit="0" vertical="top" wrapText="1"/>
    </xf>
    <xf borderId="0" fillId="0" fontId="0" numFmtId="0" xfId="0" applyAlignment="1" applyFont="1">
      <alignment readingOrder="0" shrinkToFit="0" vertical="top" wrapText="1"/>
    </xf>
    <xf borderId="1" fillId="4" fontId="20" numFmtId="0" xfId="0" applyAlignment="1" applyBorder="1" applyFont="1">
      <alignment horizontal="right" readingOrder="0" shrinkToFit="0" vertical="top" wrapText="1"/>
    </xf>
    <xf borderId="1" fillId="4" fontId="22" numFmtId="0" xfId="0" applyAlignment="1" applyBorder="1" applyFont="1">
      <alignment shrinkToFit="0" vertical="top" wrapText="1"/>
    </xf>
    <xf borderId="1" fillId="4" fontId="22" numFmtId="0" xfId="0" applyAlignment="1" applyBorder="1" applyFont="1">
      <alignment readingOrder="0" shrinkToFit="0" vertical="top" wrapText="1"/>
    </xf>
    <xf borderId="2" fillId="4" fontId="22" numFmtId="0" xfId="0" applyAlignment="1" applyBorder="1" applyFont="1">
      <alignment readingOrder="0" shrinkToFit="0" vertical="top" wrapText="1"/>
    </xf>
    <xf borderId="1" fillId="4" fontId="23" numFmtId="0" xfId="0" applyAlignment="1" applyBorder="1" applyFont="1">
      <alignment readingOrder="0" shrinkToFit="0" vertical="top" wrapText="1"/>
    </xf>
    <xf borderId="1" fillId="4" fontId="22" numFmtId="0" xfId="0" applyAlignment="1" applyBorder="1" applyFont="1">
      <alignment shrinkToFit="0" vertical="top" wrapText="1"/>
    </xf>
    <xf borderId="1" fillId="4" fontId="23" numFmtId="0" xfId="0" applyAlignment="1" applyBorder="1" applyFont="1">
      <alignment shrinkToFit="0" vertical="top" wrapText="1"/>
    </xf>
    <xf borderId="2" fillId="0" fontId="8" numFmtId="0" xfId="0" applyAlignment="1" applyBorder="1" applyFont="1">
      <alignment readingOrder="0" vertical="top"/>
    </xf>
    <xf borderId="2" fillId="4" fontId="23" numFmtId="0" xfId="0" applyAlignment="1" applyBorder="1" applyFont="1">
      <alignment readingOrder="0" shrinkToFit="0" vertical="top" wrapText="1"/>
    </xf>
    <xf borderId="1" fillId="4" fontId="23" numFmtId="0" xfId="0" applyAlignment="1" applyBorder="1" applyFont="1">
      <alignment shrinkToFit="0" vertical="top" wrapText="1"/>
    </xf>
    <xf borderId="1" fillId="4" fontId="20" numFmtId="164" xfId="0" applyAlignment="1" applyBorder="1" applyFont="1" applyNumberFormat="1">
      <alignment horizontal="right" readingOrder="0" shrinkToFit="0" vertical="top" wrapText="1"/>
    </xf>
    <xf borderId="1" fillId="4" fontId="5" numFmtId="0" xfId="0" applyAlignment="1" applyBorder="1" applyFont="1">
      <alignment vertical="top"/>
    </xf>
    <xf borderId="1" fillId="4" fontId="21" numFmtId="0" xfId="0" applyAlignment="1" applyBorder="1" applyFont="1">
      <alignment shrinkToFit="0" vertical="top" wrapText="1"/>
    </xf>
    <xf borderId="1" fillId="4" fontId="21" numFmtId="0" xfId="0" applyAlignment="1" applyBorder="1" applyFont="1">
      <alignment shrinkToFit="0" vertical="top" wrapText="1"/>
    </xf>
    <xf borderId="1" fillId="4" fontId="5" numFmtId="0" xfId="0" applyAlignment="1" applyBorder="1" applyFont="1">
      <alignment readingOrder="0" vertical="top"/>
    </xf>
    <xf borderId="1" fillId="4" fontId="5" numFmtId="0" xfId="0" applyAlignment="1" applyBorder="1" applyFont="1">
      <alignment vertical="top"/>
    </xf>
    <xf borderId="1" fillId="4" fontId="5" numFmtId="0" xfId="0" applyAlignment="1" applyBorder="1" applyFont="1">
      <alignment readingOrder="0" shrinkToFit="0" vertical="top" wrapText="1"/>
    </xf>
    <xf borderId="2" fillId="4" fontId="5" numFmtId="0" xfId="0" applyAlignment="1" applyBorder="1" applyFont="1">
      <alignment shrinkToFit="0" vertical="top" wrapText="1"/>
    </xf>
    <xf borderId="1" fillId="4" fontId="5" numFmtId="0" xfId="0" applyAlignment="1" applyBorder="1" applyFont="1">
      <alignment shrinkToFit="0" vertical="top" wrapText="1"/>
    </xf>
    <xf borderId="2" fillId="4" fontId="5" numFmtId="0" xfId="0" applyAlignment="1" applyBorder="1" applyFont="1">
      <alignment readingOrder="0" shrinkToFit="0" vertical="top" wrapText="1"/>
    </xf>
    <xf borderId="5" fillId="4" fontId="20" numFmtId="164" xfId="0" applyAlignment="1" applyBorder="1" applyFont="1" applyNumberFormat="1">
      <alignment horizontal="right" readingOrder="0" shrinkToFit="0" vertical="top" wrapText="1"/>
    </xf>
    <xf borderId="5" fillId="4" fontId="5" numFmtId="0" xfId="0" applyAlignment="1" applyBorder="1" applyFont="1">
      <alignment vertical="top"/>
    </xf>
    <xf borderId="5" fillId="4" fontId="21" numFmtId="0" xfId="0" applyAlignment="1" applyBorder="1" applyFont="1">
      <alignment shrinkToFit="0" vertical="top" wrapText="1"/>
    </xf>
    <xf borderId="5" fillId="4" fontId="21" numFmtId="0" xfId="0" applyAlignment="1" applyBorder="1" applyFont="1">
      <alignment shrinkToFit="0" vertical="top" wrapText="1"/>
    </xf>
    <xf borderId="5" fillId="4" fontId="5" numFmtId="0" xfId="0" applyAlignment="1" applyBorder="1" applyFont="1">
      <alignment vertical="top"/>
    </xf>
    <xf borderId="5" fillId="4" fontId="5" numFmtId="0" xfId="0" applyAlignment="1" applyBorder="1" applyFont="1">
      <alignment readingOrder="0" shrinkToFit="0" vertical="top" wrapText="1"/>
    </xf>
    <xf borderId="6" fillId="4" fontId="5" numFmtId="0" xfId="0" applyAlignment="1" applyBorder="1" applyFont="1">
      <alignment shrinkToFit="0" vertical="top" wrapText="1"/>
    </xf>
    <xf borderId="0" fillId="0" fontId="22" numFmtId="0" xfId="0" applyAlignment="1" applyFont="1">
      <alignment readingOrder="0" shrinkToFit="0" vertical="top" wrapText="1"/>
    </xf>
    <xf borderId="0" fillId="0" fontId="23" numFmtId="0" xfId="0" applyAlignment="1" applyFont="1">
      <alignment shrinkToFit="0" vertical="top" wrapText="1"/>
    </xf>
    <xf borderId="0" fillId="0" fontId="22" numFmtId="0" xfId="0" applyAlignment="1" applyFont="1">
      <alignment shrinkToFit="0" vertical="top" wrapText="1"/>
    </xf>
    <xf borderId="0" fillId="0" fontId="23" numFmtId="0" xfId="0" applyAlignment="1" applyFont="1">
      <alignment readingOrder="0" shrinkToFit="0" vertical="top" wrapText="1"/>
    </xf>
    <xf borderId="11" fillId="4" fontId="20" numFmtId="164" xfId="0" applyAlignment="1" applyBorder="1" applyFont="1" applyNumberFormat="1">
      <alignment horizontal="right" readingOrder="0" shrinkToFit="0" vertical="top" wrapText="1"/>
    </xf>
    <xf borderId="13" fillId="4" fontId="5" numFmtId="0" xfId="0" applyAlignment="1" applyBorder="1" applyFont="1">
      <alignment vertical="top"/>
    </xf>
    <xf borderId="13" fillId="4" fontId="21" numFmtId="0" xfId="0" applyAlignment="1" applyBorder="1" applyFont="1">
      <alignment shrinkToFit="0" vertical="top" wrapText="1"/>
    </xf>
    <xf borderId="13" fillId="4" fontId="21" numFmtId="0" xfId="0" applyAlignment="1" applyBorder="1" applyFont="1">
      <alignment shrinkToFit="0" vertical="top" wrapText="1"/>
    </xf>
    <xf borderId="13" fillId="4" fontId="5" numFmtId="0" xfId="0" applyAlignment="1" applyBorder="1" applyFont="1">
      <alignment shrinkToFit="0" vertical="top" wrapText="1"/>
    </xf>
    <xf borderId="14" fillId="4" fontId="5" numFmtId="0" xfId="0" applyAlignment="1" applyBorder="1" applyFont="1">
      <alignment shrinkToFit="0" vertical="top" wrapText="1"/>
    </xf>
    <xf borderId="15" fillId="0" fontId="7" numFmtId="0" xfId="0" applyBorder="1" applyFont="1"/>
    <xf borderId="1" fillId="4" fontId="5" numFmtId="0" xfId="0" applyAlignment="1" applyBorder="1" applyFont="1">
      <alignment shrinkToFit="0" vertical="top" wrapText="1"/>
    </xf>
    <xf borderId="5" fillId="4" fontId="5" numFmtId="0" xfId="0" applyAlignment="1" applyBorder="1" applyFont="1">
      <alignment shrinkToFit="0" vertical="top" wrapText="1"/>
    </xf>
    <xf borderId="0" fillId="0" fontId="20" numFmtId="164" xfId="0" applyAlignment="1" applyFont="1" applyNumberFormat="1">
      <alignment horizontal="left" readingOrder="0" shrinkToFit="0" vertical="top" wrapText="1"/>
    </xf>
    <xf borderId="0" fillId="0" fontId="21" numFmtId="0" xfId="0" applyAlignment="1" applyFont="1">
      <alignment shrinkToFit="0" vertical="top" wrapText="1"/>
    </xf>
    <xf borderId="0" fillId="0" fontId="5" numFmtId="0" xfId="0" applyAlignment="1" applyFont="1">
      <alignment shrinkToFit="0" vertical="top" wrapText="1"/>
    </xf>
    <xf borderId="1" fillId="5" fontId="8" numFmtId="0" xfId="0" applyAlignment="1" applyBorder="1" applyFont="1">
      <alignment horizontal="right" readingOrder="0" shrinkToFit="0" vertical="top" wrapText="1"/>
    </xf>
    <xf borderId="1" fillId="5" fontId="9" numFmtId="0" xfId="0" applyAlignment="1" applyBorder="1" applyFont="1">
      <alignment readingOrder="0" shrinkToFit="0" vertical="top" wrapText="1"/>
    </xf>
    <xf borderId="1" fillId="5" fontId="0" numFmtId="0" xfId="0" applyAlignment="1" applyBorder="1" applyFont="1">
      <alignment shrinkToFit="0" vertical="top" wrapText="1"/>
    </xf>
    <xf borderId="2" fillId="5" fontId="9" numFmtId="0" xfId="0" applyAlignment="1" applyBorder="1" applyFont="1">
      <alignment readingOrder="0" shrinkToFit="0" vertical="top" wrapText="1"/>
    </xf>
    <xf borderId="0" fillId="0" fontId="24" numFmtId="0" xfId="0" applyAlignment="1" applyFont="1">
      <alignment readingOrder="0"/>
    </xf>
    <xf borderId="0" fillId="0" fontId="25" numFmtId="0" xfId="0" applyAlignment="1" applyFont="1">
      <alignment readingOrder="0"/>
    </xf>
    <xf borderId="1" fillId="5" fontId="0" numFmtId="0" xfId="0" applyAlignment="1" applyBorder="1" applyFont="1">
      <alignment readingOrder="0" shrinkToFit="0" vertical="top" wrapText="1"/>
    </xf>
    <xf borderId="2" fillId="5" fontId="0" numFmtId="0" xfId="0" applyAlignment="1" applyBorder="1" applyFont="1">
      <alignment readingOrder="0" shrinkToFit="0" vertical="top" wrapText="1"/>
    </xf>
    <xf borderId="1" fillId="5" fontId="8" numFmtId="164" xfId="0" applyAlignment="1" applyBorder="1" applyFont="1" applyNumberFormat="1">
      <alignment horizontal="right" readingOrder="0" shrinkToFit="0" vertical="top" wrapText="1"/>
    </xf>
    <xf borderId="1" fillId="5" fontId="21" numFmtId="0" xfId="0" applyAlignment="1" applyBorder="1" applyFont="1">
      <alignment shrinkToFit="0" vertical="top" wrapText="1"/>
    </xf>
    <xf borderId="1" fillId="5" fontId="5" numFmtId="0" xfId="0" applyAlignment="1" applyBorder="1" applyFont="1">
      <alignment vertical="top"/>
    </xf>
    <xf borderId="1" fillId="5" fontId="5" numFmtId="0" xfId="0" applyAlignment="1" applyBorder="1" applyFont="1">
      <alignment readingOrder="0" shrinkToFit="0" vertical="top" wrapText="1"/>
    </xf>
    <xf borderId="2" fillId="5" fontId="5" numFmtId="0" xfId="0" applyAlignment="1" applyBorder="1" applyFont="1">
      <alignment shrinkToFit="0" vertical="top" wrapText="1"/>
    </xf>
    <xf borderId="1" fillId="5" fontId="5" numFmtId="0" xfId="0" applyAlignment="1" applyBorder="1" applyFont="1">
      <alignment vertical="top"/>
    </xf>
    <xf borderId="2" fillId="5" fontId="5" numFmtId="0" xfId="0" applyAlignment="1" applyBorder="1" applyFont="1">
      <alignment readingOrder="0" shrinkToFit="0" vertical="top" wrapText="1"/>
    </xf>
    <xf borderId="1" fillId="5" fontId="20" numFmtId="164" xfId="0" applyAlignment="1" applyBorder="1" applyFont="1" applyNumberFormat="1">
      <alignment horizontal="right" shrinkToFit="0" vertical="top" wrapText="1"/>
    </xf>
    <xf borderId="1" fillId="5" fontId="21" numFmtId="0" xfId="0" applyAlignment="1" applyBorder="1" applyFont="1">
      <alignment shrinkToFit="0" vertical="top" wrapText="1"/>
    </xf>
    <xf borderId="2" fillId="5" fontId="5" numFmtId="0" xfId="0" applyAlignment="1" applyBorder="1" applyFont="1">
      <alignment shrinkToFit="0" vertical="top" wrapText="1"/>
    </xf>
    <xf borderId="1" fillId="5" fontId="20" numFmtId="164" xfId="0" applyAlignment="1" applyBorder="1" applyFont="1" applyNumberFormat="1">
      <alignment horizontal="right" readingOrder="0" shrinkToFit="0" vertical="top" wrapText="1"/>
    </xf>
    <xf borderId="1" fillId="5" fontId="20" numFmtId="0" xfId="0" applyAlignment="1" applyBorder="1" applyFont="1">
      <alignment horizontal="right" readingOrder="0" shrinkToFit="0" vertical="top" wrapText="1"/>
    </xf>
    <xf borderId="1" fillId="5" fontId="5" numFmtId="0" xfId="0" applyAlignment="1" applyBorder="1" applyFont="1">
      <alignment shrinkToFit="0" vertical="top" wrapText="1"/>
    </xf>
    <xf borderId="1" fillId="6" fontId="8" numFmtId="0" xfId="0" applyAlignment="1" applyBorder="1" applyFont="1">
      <alignment horizontal="right" readingOrder="0" shrinkToFit="0" vertical="top" wrapText="1"/>
    </xf>
    <xf borderId="1" fillId="6" fontId="0" numFmtId="0" xfId="0" applyAlignment="1" applyBorder="1" applyFont="1">
      <alignment shrinkToFit="0" vertical="top" wrapText="1"/>
    </xf>
    <xf borderId="1" fillId="6" fontId="9" numFmtId="0" xfId="0" applyAlignment="1" applyBorder="1" applyFont="1">
      <alignment readingOrder="0" shrinkToFit="0" vertical="top" wrapText="1"/>
    </xf>
    <xf borderId="2" fillId="6" fontId="9" numFmtId="0" xfId="0" applyAlignment="1" applyBorder="1" applyFont="1">
      <alignment readingOrder="0" shrinkToFit="0" vertical="top" wrapText="1"/>
    </xf>
    <xf borderId="0" fillId="0" fontId="24" numFmtId="0" xfId="0" applyAlignment="1" applyFont="1">
      <alignment readingOrder="0" shrinkToFit="0" wrapText="1"/>
    </xf>
    <xf borderId="2" fillId="6" fontId="0" numFmtId="0" xfId="0" applyAlignment="1" applyBorder="1" applyFont="1">
      <alignment readingOrder="0" shrinkToFit="0" vertical="top" wrapText="1"/>
    </xf>
    <xf borderId="1" fillId="6" fontId="20" numFmtId="0" xfId="0" applyAlignment="1" applyBorder="1" applyFont="1">
      <alignment horizontal="right" readingOrder="0" shrinkToFit="0" vertical="top" wrapText="1"/>
    </xf>
    <xf borderId="0" fillId="6" fontId="5" numFmtId="0" xfId="0" applyAlignment="1" applyFont="1">
      <alignment readingOrder="0" shrinkToFit="0" vertical="top" wrapText="1"/>
    </xf>
    <xf borderId="0" fillId="6" fontId="5" numFmtId="0" xfId="0" applyAlignment="1" applyFont="1">
      <alignment vertical="top"/>
    </xf>
    <xf borderId="0" fillId="6" fontId="21" numFmtId="0" xfId="0" applyAlignment="1" applyFont="1">
      <alignment shrinkToFit="0" vertical="top" wrapText="1"/>
    </xf>
    <xf borderId="0" fillId="6" fontId="5" numFmtId="0" xfId="0" applyAlignment="1" applyFont="1">
      <alignment shrinkToFit="0" vertical="top" wrapText="1"/>
    </xf>
    <xf borderId="0" fillId="6" fontId="21" numFmtId="0" xfId="0" applyAlignment="1" applyFont="1">
      <alignment shrinkToFit="0" vertical="top" wrapText="1"/>
    </xf>
    <xf borderId="1" fillId="6" fontId="8" numFmtId="164" xfId="0" applyAlignment="1" applyBorder="1" applyFont="1" applyNumberFormat="1">
      <alignment horizontal="right" readingOrder="0" shrinkToFit="0" vertical="top" wrapText="1"/>
    </xf>
    <xf borderId="1" fillId="6" fontId="8" numFmtId="164" xfId="0" applyAlignment="1" applyBorder="1" applyFont="1" applyNumberFormat="1">
      <alignment readingOrder="0" shrinkToFit="0" vertical="top" wrapText="1"/>
    </xf>
    <xf borderId="1" fillId="6" fontId="5" numFmtId="0" xfId="0" applyAlignment="1" applyBorder="1" applyFont="1">
      <alignment vertical="top"/>
    </xf>
    <xf borderId="1" fillId="6" fontId="21" numFmtId="0" xfId="0" applyAlignment="1" applyBorder="1" applyFont="1">
      <alignment shrinkToFit="0" vertical="top" wrapText="1"/>
    </xf>
    <xf borderId="1" fillId="6" fontId="5" numFmtId="0" xfId="0" applyAlignment="1" applyBorder="1" applyFont="1">
      <alignment vertical="top"/>
    </xf>
    <xf borderId="1" fillId="6" fontId="5" numFmtId="0" xfId="0" applyAlignment="1" applyBorder="1" applyFont="1">
      <alignment readingOrder="0" vertical="top"/>
    </xf>
    <xf borderId="2" fillId="6" fontId="5" numFmtId="0" xfId="0" applyAlignment="1" applyBorder="1" applyFont="1">
      <alignment shrinkToFit="0" vertical="top" wrapText="1"/>
    </xf>
    <xf borderId="1" fillId="6" fontId="5" numFmtId="0" xfId="0" applyAlignment="1" applyBorder="1" applyFont="1">
      <alignment shrinkToFit="0" vertical="top" wrapText="1"/>
    </xf>
    <xf borderId="1" fillId="6" fontId="5" numFmtId="0" xfId="0" applyAlignment="1" applyBorder="1" applyFont="1">
      <alignment readingOrder="0" shrinkToFit="0" vertical="top" wrapText="1"/>
    </xf>
    <xf borderId="5" fillId="6" fontId="5" numFmtId="0" xfId="0" applyAlignment="1" applyBorder="1" applyFont="1">
      <alignment vertical="top"/>
    </xf>
    <xf borderId="5" fillId="6" fontId="21" numFmtId="0" xfId="0" applyAlignment="1" applyBorder="1" applyFont="1">
      <alignment shrinkToFit="0" vertical="top" wrapText="1"/>
    </xf>
    <xf borderId="5" fillId="6" fontId="5" numFmtId="0" xfId="0" applyAlignment="1" applyBorder="1" applyFont="1">
      <alignment vertical="top"/>
    </xf>
    <xf borderId="5" fillId="6" fontId="5" numFmtId="0" xfId="0" applyAlignment="1" applyBorder="1" applyFont="1">
      <alignment readingOrder="0" vertical="top"/>
    </xf>
    <xf borderId="6" fillId="6" fontId="5" numFmtId="0" xfId="0" applyAlignment="1" applyBorder="1" applyFont="1">
      <alignment shrinkToFit="0" vertical="top" wrapText="1"/>
    </xf>
    <xf borderId="1" fillId="6" fontId="20" numFmtId="164" xfId="0" applyAlignment="1" applyBorder="1" applyFont="1" applyNumberFormat="1">
      <alignment horizontal="right" readingOrder="0" shrinkToFit="0" vertical="top" wrapText="1"/>
    </xf>
    <xf borderId="5" fillId="6" fontId="20" numFmtId="164" xfId="0" applyAlignment="1" applyBorder="1" applyFont="1" applyNumberForma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reel/DUlfeXJjPI6/?igsh=bjhnM3lhNWk1aDg4" TargetMode="External"/><Relationship Id="rId2" Type="http://schemas.openxmlformats.org/officeDocument/2006/relationships/hyperlink" Target="https://www.instagram.com/p/DUDi1TrjLZP/?img_index=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p/DU5LlbMDHeC/img_index=1&amp;igsh=YmE4YXlsdW8xZTI2"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reel/DU-qPzPDecP/?igsh=YW40ZHU0ZHVlNHJj" TargetMode="External"/><Relationship Id="rId2" Type="http://schemas.openxmlformats.org/officeDocument/2006/relationships/hyperlink" Target="https://www.instagram.com/p/DU-nOluEkz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stagram.com/p/DVDhCoQjCQu/"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15.0"/>
    <col customWidth="1" min="5" max="5" width="12.88"/>
    <col customWidth="1" min="7" max="7" width="17.13"/>
  </cols>
  <sheetData>
    <row r="1">
      <c r="A1" s="1" t="s">
        <v>0</v>
      </c>
    </row>
    <row r="2">
      <c r="A2" s="2"/>
      <c r="B2" s="2"/>
      <c r="C2" s="2"/>
      <c r="D2" s="2"/>
      <c r="E2" s="2"/>
      <c r="F2" s="2"/>
      <c r="G2" s="2"/>
      <c r="H2" s="2"/>
    </row>
    <row r="3">
      <c r="A3" s="3" t="s">
        <v>1</v>
      </c>
      <c r="B3" s="3" t="s">
        <v>2</v>
      </c>
      <c r="C3" s="3" t="s">
        <v>3</v>
      </c>
      <c r="D3" s="3" t="s">
        <v>4</v>
      </c>
      <c r="E3" s="3" t="s">
        <v>5</v>
      </c>
      <c r="F3" s="2"/>
      <c r="G3" s="2"/>
      <c r="H3" s="2"/>
    </row>
    <row r="4">
      <c r="A4" s="4" t="s">
        <v>6</v>
      </c>
      <c r="B4" s="4">
        <v>1.0</v>
      </c>
      <c r="C4" s="4">
        <v>0.0</v>
      </c>
      <c r="D4" s="4">
        <v>1.0</v>
      </c>
      <c r="E4" s="4">
        <v>4.0</v>
      </c>
      <c r="G4" s="2"/>
      <c r="H4" s="2"/>
    </row>
    <row r="5">
      <c r="A5" s="5" t="s">
        <v>7</v>
      </c>
      <c r="B5" s="5">
        <v>0.0</v>
      </c>
      <c r="C5" s="5">
        <v>0.0</v>
      </c>
      <c r="D5" s="5">
        <v>0.0</v>
      </c>
      <c r="E5" s="5">
        <v>9.0</v>
      </c>
      <c r="F5" s="2"/>
      <c r="G5" s="2"/>
      <c r="H5" s="2"/>
    </row>
    <row r="6">
      <c r="A6" s="6" t="s">
        <v>8</v>
      </c>
      <c r="B6" s="6">
        <v>5.0</v>
      </c>
      <c r="C6" s="6">
        <v>1.0</v>
      </c>
      <c r="D6" s="6">
        <v>5.0</v>
      </c>
      <c r="E6" s="6">
        <v>23.0</v>
      </c>
      <c r="F6" s="2"/>
      <c r="G6" s="2"/>
      <c r="H6" s="2"/>
    </row>
    <row r="7">
      <c r="A7" s="7" t="s">
        <v>9</v>
      </c>
      <c r="B7" s="7">
        <v>2.0</v>
      </c>
      <c r="C7" s="7">
        <v>1.0</v>
      </c>
      <c r="D7" s="7">
        <v>11.0</v>
      </c>
      <c r="E7" s="7">
        <v>50.0</v>
      </c>
      <c r="F7" s="2"/>
      <c r="G7" s="2"/>
      <c r="H7" s="2"/>
    </row>
    <row r="8">
      <c r="A8" s="8" t="s">
        <v>10</v>
      </c>
      <c r="B8" s="8">
        <v>1.0</v>
      </c>
      <c r="C8" s="8">
        <v>2.0</v>
      </c>
      <c r="D8" s="8">
        <v>4.0</v>
      </c>
      <c r="E8" s="8">
        <v>15.0</v>
      </c>
      <c r="F8" s="2"/>
      <c r="G8" s="2"/>
      <c r="H8" s="2"/>
    </row>
    <row r="9">
      <c r="A9" s="2"/>
      <c r="B9" s="9">
        <v>9.0</v>
      </c>
      <c r="C9" s="9">
        <v>4.0</v>
      </c>
      <c r="D9" s="9">
        <v>21.0</v>
      </c>
      <c r="E9" s="2">
        <f>SUM(E4:E8)</f>
        <v>101</v>
      </c>
      <c r="F9" s="2"/>
      <c r="G9" s="2"/>
      <c r="H9" s="2"/>
    </row>
    <row r="10">
      <c r="A10" s="2"/>
      <c r="B10" s="2"/>
      <c r="C10" s="2"/>
      <c r="D10" s="2"/>
      <c r="E10" s="2"/>
      <c r="F10" s="2"/>
      <c r="G10" s="2"/>
      <c r="H10" s="2"/>
    </row>
    <row r="11">
      <c r="A11" s="2"/>
      <c r="B11" s="2"/>
      <c r="C11" s="2"/>
      <c r="D11" s="2"/>
      <c r="E11" s="2"/>
      <c r="F11" s="2"/>
      <c r="G11" s="2"/>
      <c r="H11" s="2"/>
    </row>
    <row r="12">
      <c r="A12" s="2"/>
      <c r="B12" s="2"/>
      <c r="C12" s="2"/>
      <c r="D12" s="2"/>
      <c r="E12" s="2"/>
      <c r="F12" s="2"/>
      <c r="G12" s="2"/>
      <c r="H12" s="2"/>
    </row>
    <row r="13">
      <c r="A13" s="1" t="s">
        <v>11</v>
      </c>
    </row>
    <row r="14">
      <c r="A14" s="2"/>
      <c r="B14" s="2"/>
      <c r="C14" s="2"/>
      <c r="D14" s="2"/>
      <c r="E14" s="2"/>
      <c r="F14" s="10"/>
      <c r="G14" s="10"/>
      <c r="H14" s="2"/>
    </row>
    <row r="15">
      <c r="A15" s="3" t="s">
        <v>1</v>
      </c>
      <c r="B15" s="3" t="s">
        <v>12</v>
      </c>
      <c r="C15" s="3" t="s">
        <v>13</v>
      </c>
      <c r="D15" s="11" t="s">
        <v>14</v>
      </c>
      <c r="E15" s="12" t="s">
        <v>15</v>
      </c>
      <c r="F15" s="11" t="s">
        <v>16</v>
      </c>
      <c r="G15" s="11" t="s">
        <v>17</v>
      </c>
      <c r="H15" s="13"/>
      <c r="I15" s="12" t="s">
        <v>18</v>
      </c>
    </row>
    <row r="16">
      <c r="A16" s="4" t="s">
        <v>6</v>
      </c>
      <c r="B16" s="4">
        <v>1.0</v>
      </c>
      <c r="C16" s="4">
        <v>0.0</v>
      </c>
      <c r="D16" s="14">
        <v>1.0</v>
      </c>
      <c r="E16" s="14">
        <v>1.0</v>
      </c>
      <c r="F16" s="15">
        <v>2.0</v>
      </c>
      <c r="G16" s="14">
        <v>0.0</v>
      </c>
      <c r="H16" s="16"/>
      <c r="I16" s="17">
        <f t="shared" ref="I16:I20" si="1">SUM(B16:G16)</f>
        <v>5</v>
      </c>
    </row>
    <row r="17">
      <c r="A17" s="5" t="s">
        <v>7</v>
      </c>
      <c r="B17" s="5">
        <v>0.0</v>
      </c>
      <c r="C17" s="5">
        <v>0.0</v>
      </c>
      <c r="D17" s="18">
        <v>1.0</v>
      </c>
      <c r="E17" s="18">
        <v>2.0</v>
      </c>
      <c r="F17" s="18">
        <v>4.0</v>
      </c>
      <c r="G17" s="18">
        <v>2.0</v>
      </c>
      <c r="H17" s="19"/>
      <c r="I17" s="19">
        <f t="shared" si="1"/>
        <v>9</v>
      </c>
    </row>
    <row r="18">
      <c r="A18" s="6" t="s">
        <v>8</v>
      </c>
      <c r="B18" s="6">
        <v>5.0</v>
      </c>
      <c r="C18" s="6">
        <v>0.0</v>
      </c>
      <c r="D18" s="20">
        <v>2.0</v>
      </c>
      <c r="E18" s="20">
        <v>2.0</v>
      </c>
      <c r="F18" s="20">
        <v>11.0</v>
      </c>
      <c r="G18" s="20">
        <v>11.0</v>
      </c>
      <c r="H18" s="19"/>
      <c r="I18" s="19">
        <f t="shared" si="1"/>
        <v>31</v>
      </c>
    </row>
    <row r="19">
      <c r="A19" s="7" t="s">
        <v>9</v>
      </c>
      <c r="B19" s="7">
        <v>11.0</v>
      </c>
      <c r="C19" s="7">
        <v>0.0</v>
      </c>
      <c r="D19" s="21">
        <v>1.0</v>
      </c>
      <c r="E19" s="21">
        <v>2.0</v>
      </c>
      <c r="F19" s="21">
        <v>7.0</v>
      </c>
      <c r="G19" s="21">
        <v>40.0</v>
      </c>
      <c r="H19" s="19"/>
      <c r="I19" s="19">
        <f t="shared" si="1"/>
        <v>61</v>
      </c>
    </row>
    <row r="20">
      <c r="A20" s="8" t="s">
        <v>10</v>
      </c>
      <c r="B20" s="8">
        <v>4.0</v>
      </c>
      <c r="C20" s="8">
        <v>1.0</v>
      </c>
      <c r="D20" s="22">
        <v>1.0</v>
      </c>
      <c r="E20" s="22">
        <v>3.0</v>
      </c>
      <c r="F20" s="22">
        <v>5.0</v>
      </c>
      <c r="G20" s="22">
        <v>6.0</v>
      </c>
      <c r="H20" s="19"/>
      <c r="I20" s="19">
        <f t="shared" si="1"/>
        <v>20</v>
      </c>
    </row>
    <row r="22">
      <c r="I22" s="23">
        <f>SUM(I16:I20)</f>
        <v>126</v>
      </c>
    </row>
  </sheetData>
  <mergeCells count="2">
    <mergeCell ref="A1:H1"/>
    <mergeCell ref="A13:H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88"/>
    <col customWidth="1" min="5" max="5" width="15.38"/>
    <col customWidth="1" min="6" max="6" width="19.25"/>
    <col customWidth="1" min="7" max="7" width="22.88"/>
  </cols>
  <sheetData>
    <row r="1">
      <c r="A1" s="24" t="s">
        <v>19</v>
      </c>
      <c r="B1" s="24" t="s">
        <v>20</v>
      </c>
      <c r="C1" s="24" t="s">
        <v>1</v>
      </c>
      <c r="D1" s="24" t="s">
        <v>21</v>
      </c>
      <c r="E1" s="24" t="s">
        <v>22</v>
      </c>
      <c r="F1" s="24" t="s">
        <v>23</v>
      </c>
      <c r="G1" s="24" t="s">
        <v>24</v>
      </c>
      <c r="H1" s="25" t="s">
        <v>25</v>
      </c>
      <c r="I1" s="26"/>
      <c r="J1" s="26"/>
      <c r="K1" s="26"/>
      <c r="L1" s="27"/>
      <c r="N1" s="25" t="s">
        <v>26</v>
      </c>
      <c r="O1" s="26"/>
      <c r="P1" s="26"/>
      <c r="Q1" s="26"/>
      <c r="R1" s="26"/>
      <c r="S1" s="26"/>
      <c r="T1" s="26"/>
      <c r="U1" s="27"/>
    </row>
    <row r="2">
      <c r="A2" s="28" t="s">
        <v>27</v>
      </c>
      <c r="B2" s="29" t="s">
        <v>28</v>
      </c>
      <c r="C2" s="29" t="s">
        <v>29</v>
      </c>
      <c r="D2" s="29" t="s">
        <v>30</v>
      </c>
      <c r="E2" s="29" t="s">
        <v>31</v>
      </c>
      <c r="F2" s="29" t="s">
        <v>32</v>
      </c>
      <c r="G2" s="29" t="s">
        <v>33</v>
      </c>
      <c r="H2" s="30" t="s">
        <v>34</v>
      </c>
      <c r="I2" s="31"/>
      <c r="J2" s="31"/>
      <c r="K2" s="31"/>
      <c r="L2" s="32"/>
      <c r="N2" s="33" t="s">
        <v>35</v>
      </c>
    </row>
    <row r="3">
      <c r="A3" s="34"/>
      <c r="B3" s="35"/>
      <c r="C3" s="36"/>
      <c r="D3" s="37"/>
      <c r="E3" s="37"/>
      <c r="F3" s="35"/>
      <c r="G3" s="37"/>
      <c r="H3" s="37"/>
      <c r="N3" s="38" t="s">
        <v>36</v>
      </c>
      <c r="O3" s="26"/>
      <c r="P3" s="26"/>
      <c r="Q3" s="26"/>
      <c r="R3" s="26"/>
      <c r="S3" s="26"/>
      <c r="T3" s="26"/>
      <c r="U3" s="27"/>
    </row>
    <row r="4">
      <c r="A4" s="39" t="s">
        <v>37</v>
      </c>
      <c r="B4" s="40"/>
      <c r="C4" s="41"/>
      <c r="D4" s="41"/>
      <c r="E4" s="41"/>
      <c r="F4" s="42"/>
      <c r="G4" s="41"/>
      <c r="H4" s="43"/>
      <c r="I4" s="44"/>
      <c r="J4" s="44"/>
      <c r="K4" s="44"/>
      <c r="L4" s="40"/>
    </row>
    <row r="5">
      <c r="A5" s="45" t="s">
        <v>38</v>
      </c>
      <c r="B5" s="46"/>
      <c r="C5" s="47" t="s">
        <v>29</v>
      </c>
      <c r="D5" s="47" t="s">
        <v>39</v>
      </c>
      <c r="E5" s="46"/>
      <c r="F5" s="46"/>
      <c r="G5" s="47" t="s">
        <v>40</v>
      </c>
      <c r="H5" s="48" t="s">
        <v>41</v>
      </c>
      <c r="I5" s="26"/>
      <c r="J5" s="26"/>
      <c r="K5" s="26"/>
      <c r="L5" s="27"/>
    </row>
    <row r="6">
      <c r="A6" s="45" t="s">
        <v>42</v>
      </c>
      <c r="B6" s="46"/>
      <c r="C6" s="47" t="s">
        <v>29</v>
      </c>
      <c r="D6" s="47" t="s">
        <v>43</v>
      </c>
      <c r="E6" s="46"/>
      <c r="F6" s="47" t="s">
        <v>44</v>
      </c>
      <c r="G6" s="47" t="s">
        <v>45</v>
      </c>
      <c r="H6" s="48" t="s">
        <v>46</v>
      </c>
      <c r="I6" s="26"/>
      <c r="J6" s="26"/>
      <c r="K6" s="26"/>
      <c r="L6" s="27"/>
    </row>
    <row r="7">
      <c r="A7" s="49" t="s">
        <v>47</v>
      </c>
      <c r="B7" s="27"/>
      <c r="C7" s="50"/>
      <c r="D7" s="50"/>
      <c r="E7" s="51"/>
      <c r="F7" s="52"/>
      <c r="G7" s="51"/>
      <c r="H7" s="53"/>
      <c r="I7" s="26"/>
      <c r="J7" s="26"/>
      <c r="K7" s="26"/>
      <c r="L7" s="27"/>
    </row>
    <row r="8">
      <c r="A8" s="45" t="s">
        <v>48</v>
      </c>
      <c r="B8" s="54"/>
      <c r="C8" s="47" t="s">
        <v>29</v>
      </c>
      <c r="D8" s="55" t="s">
        <v>49</v>
      </c>
      <c r="E8" s="55"/>
      <c r="F8" s="54"/>
      <c r="G8" s="47" t="s">
        <v>50</v>
      </c>
      <c r="H8" s="56" t="s">
        <v>51</v>
      </c>
      <c r="I8" s="26"/>
      <c r="J8" s="26"/>
      <c r="K8" s="26"/>
      <c r="L8" s="27"/>
    </row>
    <row r="9">
      <c r="A9" s="45" t="s">
        <v>52</v>
      </c>
      <c r="B9" s="54"/>
      <c r="C9" s="47" t="s">
        <v>29</v>
      </c>
      <c r="D9" s="55" t="s">
        <v>49</v>
      </c>
      <c r="E9" s="55"/>
      <c r="F9" s="54"/>
      <c r="G9" s="47" t="s">
        <v>50</v>
      </c>
      <c r="H9" s="56" t="s">
        <v>53</v>
      </c>
      <c r="I9" s="26"/>
      <c r="J9" s="26"/>
      <c r="K9" s="26"/>
      <c r="L9" s="27"/>
    </row>
    <row r="10">
      <c r="A10" s="57"/>
      <c r="B10" s="58"/>
      <c r="C10" s="59"/>
      <c r="D10" s="59"/>
      <c r="E10" s="59"/>
      <c r="F10" s="58"/>
      <c r="G10" s="59"/>
      <c r="H10" s="60"/>
      <c r="I10" s="26"/>
      <c r="J10" s="26"/>
      <c r="K10" s="26"/>
      <c r="L10" s="27"/>
    </row>
    <row r="11">
      <c r="A11" s="57"/>
      <c r="B11" s="58"/>
      <c r="C11" s="59"/>
      <c r="D11" s="59"/>
      <c r="E11" s="59"/>
      <c r="F11" s="58"/>
      <c r="G11" s="59"/>
      <c r="H11" s="61"/>
      <c r="I11" s="26"/>
      <c r="J11" s="26"/>
      <c r="K11" s="26"/>
      <c r="L11" s="27"/>
    </row>
    <row r="12">
      <c r="A12" s="57"/>
      <c r="B12" s="58"/>
      <c r="C12" s="59"/>
      <c r="D12" s="59"/>
      <c r="E12" s="59"/>
      <c r="F12" s="58"/>
      <c r="G12" s="59"/>
      <c r="H12" s="60"/>
      <c r="I12" s="26"/>
      <c r="J12" s="26"/>
      <c r="K12" s="26"/>
      <c r="L12" s="27"/>
    </row>
    <row r="13">
      <c r="A13" s="57"/>
      <c r="B13" s="58"/>
      <c r="C13" s="59"/>
      <c r="D13" s="59"/>
      <c r="E13" s="58"/>
      <c r="F13" s="58"/>
      <c r="G13" s="59"/>
      <c r="H13" s="62"/>
      <c r="I13" s="26"/>
      <c r="J13" s="26"/>
      <c r="K13" s="26"/>
      <c r="L13" s="27"/>
    </row>
    <row r="14">
      <c r="A14" s="57"/>
      <c r="B14" s="58"/>
      <c r="C14" s="59"/>
      <c r="D14" s="59"/>
      <c r="E14" s="58"/>
      <c r="F14" s="59"/>
      <c r="G14" s="59"/>
      <c r="H14" s="62"/>
      <c r="I14" s="26"/>
      <c r="J14" s="26"/>
      <c r="K14" s="26"/>
      <c r="L14" s="27"/>
    </row>
    <row r="15">
      <c r="A15" s="57"/>
      <c r="B15" s="58"/>
      <c r="C15" s="59"/>
      <c r="D15" s="59"/>
      <c r="E15" s="58"/>
      <c r="F15" s="59"/>
      <c r="G15" s="59"/>
      <c r="H15" s="62"/>
      <c r="I15" s="26"/>
      <c r="J15" s="26"/>
      <c r="K15" s="26"/>
      <c r="L15" s="27"/>
    </row>
    <row r="16">
      <c r="A16" s="57"/>
      <c r="B16" s="59"/>
      <c r="C16" s="59"/>
      <c r="D16" s="59"/>
      <c r="E16" s="59"/>
      <c r="F16" s="59"/>
      <c r="G16" s="59"/>
      <c r="H16" s="60"/>
      <c r="I16" s="26"/>
      <c r="J16" s="26"/>
      <c r="K16" s="26"/>
      <c r="L16" s="27"/>
    </row>
    <row r="17">
      <c r="A17" s="57"/>
      <c r="B17" s="59"/>
      <c r="C17" s="59"/>
      <c r="D17" s="59"/>
      <c r="E17" s="59"/>
      <c r="F17" s="59"/>
      <c r="G17" s="59"/>
      <c r="H17" s="60"/>
      <c r="I17" s="26"/>
      <c r="J17" s="26"/>
      <c r="K17" s="26"/>
      <c r="L17" s="27"/>
    </row>
    <row r="18">
      <c r="A18" s="57"/>
      <c r="B18" s="59"/>
      <c r="C18" s="59"/>
      <c r="D18" s="59"/>
      <c r="E18" s="59"/>
      <c r="F18" s="59"/>
      <c r="G18" s="63"/>
      <c r="H18" s="60"/>
      <c r="I18" s="26"/>
      <c r="J18" s="26"/>
      <c r="K18" s="26"/>
      <c r="L18" s="27"/>
    </row>
    <row r="19">
      <c r="A19" s="57"/>
      <c r="B19" s="59"/>
      <c r="C19" s="59"/>
      <c r="D19" s="59"/>
      <c r="E19" s="59"/>
      <c r="F19" s="59"/>
      <c r="G19" s="59"/>
      <c r="H19" s="60"/>
      <c r="I19" s="26"/>
      <c r="J19" s="26"/>
      <c r="K19" s="26"/>
      <c r="L19" s="27"/>
    </row>
    <row r="20">
      <c r="A20" s="57"/>
      <c r="B20" s="59"/>
      <c r="C20" s="59"/>
      <c r="D20" s="59"/>
      <c r="E20" s="58"/>
      <c r="F20" s="59"/>
      <c r="G20" s="63"/>
      <c r="H20" s="60"/>
      <c r="I20" s="26"/>
      <c r="J20" s="26"/>
      <c r="K20" s="26"/>
      <c r="L20" s="27"/>
    </row>
    <row r="21">
      <c r="A21" s="57"/>
      <c r="B21" s="58"/>
      <c r="C21" s="59"/>
      <c r="D21" s="59"/>
      <c r="E21" s="58"/>
      <c r="F21" s="58"/>
      <c r="G21" s="59"/>
      <c r="H21" s="62"/>
      <c r="I21" s="26"/>
      <c r="J21" s="26"/>
      <c r="K21" s="26"/>
      <c r="L21" s="27"/>
    </row>
    <row r="22">
      <c r="A22" s="57"/>
      <c r="B22" s="58"/>
      <c r="C22" s="59"/>
      <c r="D22" s="59"/>
      <c r="E22" s="58"/>
      <c r="F22" s="58"/>
      <c r="G22" s="59"/>
      <c r="H22" s="62"/>
      <c r="I22" s="26"/>
      <c r="J22" s="26"/>
      <c r="K22" s="26"/>
      <c r="L22" s="27"/>
    </row>
    <row r="23">
      <c r="A23" s="57"/>
      <c r="B23" s="58"/>
      <c r="C23" s="59"/>
      <c r="D23" s="59"/>
      <c r="E23" s="58"/>
      <c r="F23" s="59"/>
      <c r="G23" s="59"/>
      <c r="H23" s="62"/>
      <c r="I23" s="26"/>
      <c r="J23" s="26"/>
      <c r="K23" s="26"/>
      <c r="L23" s="27"/>
    </row>
    <row r="24">
      <c r="A24" s="57"/>
      <c r="B24" s="58"/>
      <c r="C24" s="59"/>
      <c r="D24" s="59"/>
      <c r="E24" s="58"/>
      <c r="F24" s="59"/>
      <c r="G24" s="59"/>
      <c r="H24" s="62"/>
      <c r="I24" s="26"/>
      <c r="J24" s="26"/>
      <c r="K24" s="26"/>
      <c r="L24" s="27"/>
    </row>
    <row r="25">
      <c r="A25" s="57"/>
      <c r="B25" s="59"/>
      <c r="C25" s="59"/>
      <c r="D25" s="59"/>
      <c r="E25" s="58"/>
      <c r="F25" s="59"/>
      <c r="G25" s="59"/>
      <c r="H25" s="60"/>
      <c r="I25" s="26"/>
      <c r="J25" s="26"/>
      <c r="K25" s="26"/>
      <c r="L25" s="27"/>
    </row>
    <row r="26">
      <c r="A26" s="57"/>
      <c r="B26" s="59"/>
      <c r="C26" s="59"/>
      <c r="D26" s="59"/>
      <c r="E26" s="59"/>
      <c r="F26" s="59"/>
      <c r="G26" s="59"/>
      <c r="H26" s="60"/>
      <c r="I26" s="26"/>
      <c r="J26" s="26"/>
      <c r="K26" s="26"/>
      <c r="L26" s="27"/>
    </row>
    <row r="27">
      <c r="A27" s="57"/>
      <c r="B27" s="59"/>
      <c r="C27" s="59"/>
      <c r="D27" s="58"/>
      <c r="E27" s="59"/>
      <c r="F27" s="59"/>
      <c r="G27" s="59"/>
      <c r="H27" s="60"/>
      <c r="I27" s="26"/>
      <c r="J27" s="26"/>
      <c r="K27" s="26"/>
      <c r="L27" s="27"/>
    </row>
    <row r="28">
      <c r="A28" s="57"/>
      <c r="B28" s="59"/>
      <c r="C28" s="59"/>
      <c r="D28" s="59"/>
      <c r="E28" s="58"/>
      <c r="F28" s="59"/>
      <c r="G28" s="59"/>
      <c r="H28" s="60"/>
      <c r="I28" s="26"/>
      <c r="J28" s="26"/>
      <c r="K28" s="26"/>
      <c r="L28" s="27"/>
    </row>
    <row r="29">
      <c r="A29" s="57"/>
      <c r="B29" s="59"/>
      <c r="C29" s="59"/>
      <c r="D29" s="59"/>
      <c r="E29" s="59"/>
      <c r="F29" s="59"/>
      <c r="G29" s="59"/>
      <c r="H29" s="60"/>
      <c r="I29" s="26"/>
      <c r="J29" s="26"/>
      <c r="K29" s="26"/>
      <c r="L29" s="27"/>
    </row>
    <row r="30">
      <c r="A30" s="57"/>
      <c r="B30" s="59"/>
      <c r="C30" s="59"/>
      <c r="D30" s="59"/>
      <c r="E30" s="59"/>
      <c r="F30" s="59"/>
      <c r="G30" s="63"/>
      <c r="H30" s="60"/>
      <c r="I30" s="26"/>
      <c r="J30" s="26"/>
      <c r="K30" s="26"/>
      <c r="L30" s="27"/>
    </row>
    <row r="31">
      <c r="A31" s="57"/>
      <c r="B31" s="59"/>
      <c r="C31" s="59"/>
      <c r="D31" s="59"/>
      <c r="E31" s="59"/>
      <c r="F31" s="59"/>
      <c r="G31" s="59"/>
      <c r="H31" s="61"/>
      <c r="I31" s="26"/>
      <c r="J31" s="26"/>
      <c r="K31" s="26"/>
      <c r="L31" s="27"/>
    </row>
    <row r="32">
      <c r="A32" s="57"/>
      <c r="B32" s="59"/>
      <c r="C32" s="59"/>
      <c r="D32" s="59"/>
      <c r="E32" s="59"/>
      <c r="F32" s="59"/>
      <c r="G32" s="59"/>
      <c r="H32" s="60"/>
      <c r="I32" s="26"/>
      <c r="J32" s="26"/>
      <c r="K32" s="26"/>
      <c r="L32" s="27"/>
    </row>
    <row r="33">
      <c r="A33" s="58"/>
      <c r="B33" s="59"/>
      <c r="C33" s="59"/>
      <c r="D33" s="59"/>
      <c r="E33" s="59"/>
      <c r="F33" s="59"/>
      <c r="G33" s="63"/>
      <c r="H33" s="60"/>
      <c r="I33" s="26"/>
      <c r="J33" s="26"/>
      <c r="K33" s="26"/>
      <c r="L33" s="27"/>
    </row>
    <row r="34">
      <c r="A34" s="58"/>
      <c r="B34" s="59"/>
      <c r="C34" s="59"/>
      <c r="D34" s="59"/>
      <c r="E34" s="59"/>
      <c r="F34" s="59"/>
      <c r="G34" s="59"/>
      <c r="H34" s="60"/>
      <c r="I34" s="26"/>
      <c r="J34" s="26"/>
      <c r="K34" s="26"/>
      <c r="L34" s="27"/>
    </row>
    <row r="35">
      <c r="A35" s="58"/>
      <c r="B35" s="59"/>
      <c r="C35" s="59"/>
      <c r="D35" s="59"/>
      <c r="E35" s="58"/>
      <c r="F35" s="59"/>
      <c r="G35" s="59"/>
      <c r="H35" s="60"/>
      <c r="I35" s="26"/>
      <c r="J35" s="26"/>
      <c r="K35" s="26"/>
      <c r="L35" s="27"/>
    </row>
    <row r="36">
      <c r="A36" s="58"/>
      <c r="B36" s="58"/>
      <c r="C36" s="59"/>
      <c r="D36" s="59"/>
      <c r="E36" s="58"/>
      <c r="F36" s="58"/>
      <c r="G36" s="59"/>
      <c r="H36" s="62"/>
      <c r="I36" s="26"/>
      <c r="J36" s="26"/>
      <c r="K36" s="26"/>
      <c r="L36" s="27"/>
    </row>
    <row r="37">
      <c r="A37" s="58"/>
      <c r="B37" s="58"/>
      <c r="C37" s="59"/>
      <c r="D37" s="59"/>
      <c r="E37" s="58"/>
      <c r="F37" s="59"/>
      <c r="G37" s="59"/>
      <c r="H37" s="62"/>
      <c r="I37" s="26"/>
      <c r="J37" s="26"/>
      <c r="K37" s="26"/>
      <c r="L37" s="27"/>
    </row>
    <row r="38">
      <c r="A38" s="58"/>
      <c r="B38" s="58"/>
      <c r="C38" s="59"/>
      <c r="D38" s="59"/>
      <c r="E38" s="58"/>
      <c r="F38" s="59"/>
      <c r="G38" s="59"/>
      <c r="H38" s="62"/>
      <c r="I38" s="26"/>
      <c r="J38" s="26"/>
      <c r="K38" s="26"/>
      <c r="L38" s="27"/>
    </row>
    <row r="39">
      <c r="A39" s="58"/>
      <c r="B39" s="58"/>
      <c r="C39" s="59"/>
      <c r="D39" s="59"/>
      <c r="E39" s="59"/>
      <c r="F39" s="59"/>
      <c r="G39" s="59"/>
      <c r="H39" s="60"/>
      <c r="I39" s="26"/>
      <c r="J39" s="26"/>
      <c r="K39" s="26"/>
      <c r="L39" s="27"/>
    </row>
    <row r="40">
      <c r="A40" s="58"/>
      <c r="B40" s="59"/>
      <c r="C40" s="59"/>
      <c r="D40" s="59"/>
      <c r="E40" s="59"/>
      <c r="F40" s="59"/>
      <c r="G40" s="59"/>
      <c r="H40" s="61"/>
      <c r="I40" s="26"/>
      <c r="J40" s="26"/>
      <c r="K40" s="26"/>
      <c r="L40" s="27"/>
    </row>
    <row r="41">
      <c r="A41" s="58"/>
      <c r="B41" s="59"/>
      <c r="C41" s="59"/>
      <c r="D41" s="59"/>
      <c r="E41" s="58"/>
      <c r="F41" s="59"/>
      <c r="G41" s="59"/>
      <c r="H41" s="60"/>
      <c r="I41" s="26"/>
      <c r="J41" s="26"/>
      <c r="K41" s="26"/>
      <c r="L41" s="27"/>
    </row>
    <row r="42">
      <c r="A42" s="58"/>
      <c r="B42" s="59"/>
      <c r="C42" s="59"/>
      <c r="D42" s="59"/>
      <c r="E42" s="58"/>
      <c r="F42" s="58"/>
      <c r="G42" s="59"/>
      <c r="H42" s="60"/>
      <c r="I42" s="26"/>
      <c r="J42" s="26"/>
      <c r="K42" s="26"/>
      <c r="L42" s="27"/>
    </row>
    <row r="43">
      <c r="A43" s="58"/>
      <c r="B43" s="58"/>
      <c r="C43" s="59"/>
      <c r="D43" s="59"/>
      <c r="E43" s="58"/>
      <c r="F43" s="58"/>
      <c r="G43" s="59"/>
      <c r="H43" s="62"/>
      <c r="I43" s="26"/>
      <c r="J43" s="26"/>
      <c r="K43" s="26"/>
      <c r="L43" s="27"/>
    </row>
    <row r="44">
      <c r="A44" s="58"/>
      <c r="B44" s="58"/>
      <c r="C44" s="59"/>
      <c r="D44" s="59"/>
      <c r="E44" s="58"/>
      <c r="F44" s="59"/>
      <c r="G44" s="59"/>
      <c r="H44" s="62"/>
      <c r="I44" s="26"/>
      <c r="J44" s="26"/>
      <c r="K44" s="26"/>
      <c r="L44" s="27"/>
    </row>
    <row r="45">
      <c r="A45" s="58"/>
      <c r="B45" s="58"/>
      <c r="C45" s="59"/>
      <c r="D45" s="59"/>
      <c r="E45" s="58"/>
      <c r="F45" s="59"/>
      <c r="G45" s="59"/>
      <c r="H45" s="62"/>
      <c r="I45" s="26"/>
      <c r="J45" s="26"/>
      <c r="K45" s="26"/>
      <c r="L45" s="27"/>
    </row>
    <row r="46">
      <c r="A46" s="58"/>
      <c r="B46" s="58"/>
      <c r="C46" s="59"/>
      <c r="D46" s="59"/>
      <c r="E46" s="58"/>
      <c r="F46" s="59"/>
      <c r="G46" s="59"/>
      <c r="H46" s="62"/>
      <c r="I46" s="26"/>
      <c r="J46" s="26"/>
      <c r="K46" s="26"/>
      <c r="L46" s="27"/>
    </row>
  </sheetData>
  <mergeCells count="51">
    <mergeCell ref="H1:L1"/>
    <mergeCell ref="N1:U1"/>
    <mergeCell ref="H2:L2"/>
    <mergeCell ref="N2:U2"/>
    <mergeCell ref="H3:L3"/>
    <mergeCell ref="N3:U3"/>
    <mergeCell ref="A4:B4"/>
    <mergeCell ref="H4:L4"/>
    <mergeCell ref="H5:L5"/>
    <mergeCell ref="H6:L6"/>
    <mergeCell ref="A7:B7"/>
    <mergeCell ref="H7:L7"/>
    <mergeCell ref="H8:L8"/>
    <mergeCell ref="H9:L9"/>
    <mergeCell ref="H10:L10"/>
    <mergeCell ref="H11:L11"/>
    <mergeCell ref="H12:L12"/>
    <mergeCell ref="H13:L13"/>
    <mergeCell ref="H14:L14"/>
    <mergeCell ref="H15:L15"/>
    <mergeCell ref="H16:L16"/>
    <mergeCell ref="H17:L17"/>
    <mergeCell ref="H18:L18"/>
    <mergeCell ref="H19:L19"/>
    <mergeCell ref="H20:L20"/>
    <mergeCell ref="H21:L21"/>
    <mergeCell ref="H22:L22"/>
    <mergeCell ref="H23:L23"/>
    <mergeCell ref="H24:L24"/>
    <mergeCell ref="H25:L25"/>
    <mergeCell ref="H26:L26"/>
    <mergeCell ref="H27:L27"/>
    <mergeCell ref="H28:L28"/>
    <mergeCell ref="H29:L29"/>
    <mergeCell ref="H30:L30"/>
    <mergeCell ref="H31:L31"/>
    <mergeCell ref="H32:L32"/>
    <mergeCell ref="H33:L33"/>
    <mergeCell ref="H34:L34"/>
    <mergeCell ref="H35:L35"/>
    <mergeCell ref="H36:L36"/>
    <mergeCell ref="H37:L37"/>
    <mergeCell ref="H45:L45"/>
    <mergeCell ref="H46:L46"/>
    <mergeCell ref="H38:L38"/>
    <mergeCell ref="H39:L39"/>
    <mergeCell ref="H40:L40"/>
    <mergeCell ref="H41:L41"/>
    <mergeCell ref="H42:L42"/>
    <mergeCell ref="H43:L43"/>
    <mergeCell ref="H44:L44"/>
  </mergeCells>
  <hyperlinks>
    <hyperlink r:id="rId1" ref="N2"/>
    <hyperlink r:id="rId2" ref="N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16.25"/>
    <col customWidth="1" min="5" max="5" width="14.25"/>
    <col customWidth="1" min="6" max="6" width="19.38"/>
    <col customWidth="1" min="7" max="7" width="25.0"/>
  </cols>
  <sheetData>
    <row r="1">
      <c r="A1" s="64" t="s">
        <v>19</v>
      </c>
      <c r="B1" s="64" t="s">
        <v>20</v>
      </c>
      <c r="C1" s="64" t="s">
        <v>1</v>
      </c>
      <c r="D1" s="64" t="s">
        <v>21</v>
      </c>
      <c r="E1" s="64" t="s">
        <v>22</v>
      </c>
      <c r="F1" s="64" t="s">
        <v>23</v>
      </c>
      <c r="G1" s="64" t="s">
        <v>24</v>
      </c>
      <c r="H1" s="65" t="s">
        <v>25</v>
      </c>
      <c r="I1" s="44"/>
      <c r="J1" s="44"/>
      <c r="K1" s="44"/>
      <c r="L1" s="40"/>
      <c r="N1" s="66" t="s">
        <v>26</v>
      </c>
      <c r="O1" s="26"/>
      <c r="P1" s="26"/>
      <c r="Q1" s="26"/>
      <c r="R1" s="26"/>
      <c r="S1" s="26"/>
      <c r="T1" s="26"/>
      <c r="U1" s="27"/>
    </row>
    <row r="2">
      <c r="A2" s="67"/>
      <c r="B2" s="68"/>
      <c r="C2" s="69"/>
      <c r="D2" s="69"/>
      <c r="E2" s="69"/>
      <c r="F2" s="68"/>
      <c r="G2" s="69"/>
      <c r="H2" s="69"/>
      <c r="N2" s="70" t="s">
        <v>54</v>
      </c>
    </row>
    <row r="3">
      <c r="A3" s="71" t="s">
        <v>37</v>
      </c>
      <c r="B3" s="27"/>
      <c r="C3" s="72"/>
      <c r="D3" s="72"/>
      <c r="E3" s="72"/>
      <c r="F3" s="73"/>
      <c r="G3" s="72"/>
      <c r="H3" s="72"/>
      <c r="I3" s="72"/>
      <c r="J3" s="72"/>
      <c r="K3" s="72"/>
      <c r="L3" s="72"/>
    </row>
    <row r="4">
      <c r="A4" s="74" t="s">
        <v>55</v>
      </c>
      <c r="B4" s="75"/>
      <c r="C4" s="76" t="s">
        <v>7</v>
      </c>
      <c r="D4" s="76" t="s">
        <v>56</v>
      </c>
      <c r="E4" s="77"/>
      <c r="F4" s="75"/>
      <c r="G4" s="76" t="s">
        <v>57</v>
      </c>
      <c r="H4" s="78" t="s">
        <v>58</v>
      </c>
      <c r="I4" s="26"/>
      <c r="J4" s="26"/>
      <c r="K4" s="26"/>
      <c r="L4" s="27"/>
    </row>
    <row r="5">
      <c r="A5" s="74" t="s">
        <v>59</v>
      </c>
      <c r="B5" s="75"/>
      <c r="C5" s="76" t="s">
        <v>7</v>
      </c>
      <c r="D5" s="76" t="s">
        <v>60</v>
      </c>
      <c r="E5" s="77"/>
      <c r="F5" s="79" t="s">
        <v>44</v>
      </c>
      <c r="G5" s="76" t="s">
        <v>61</v>
      </c>
      <c r="H5" s="78" t="s">
        <v>62</v>
      </c>
      <c r="I5" s="26"/>
      <c r="J5" s="26"/>
      <c r="K5" s="26"/>
      <c r="L5" s="27"/>
    </row>
    <row r="6">
      <c r="A6" s="74" t="s">
        <v>63</v>
      </c>
      <c r="B6" s="77"/>
      <c r="C6" s="76" t="s">
        <v>7</v>
      </c>
      <c r="D6" s="76" t="s">
        <v>64</v>
      </c>
      <c r="E6" s="77"/>
      <c r="F6" s="76" t="s">
        <v>44</v>
      </c>
      <c r="G6" s="76" t="s">
        <v>65</v>
      </c>
      <c r="H6" s="78" t="s">
        <v>66</v>
      </c>
      <c r="I6" s="26"/>
      <c r="J6" s="26"/>
      <c r="K6" s="26"/>
      <c r="L6" s="27"/>
    </row>
    <row r="7">
      <c r="A7" s="80" t="s">
        <v>47</v>
      </c>
      <c r="B7" s="27"/>
      <c r="C7" s="72"/>
      <c r="D7" s="72"/>
      <c r="E7" s="72"/>
      <c r="F7" s="73"/>
      <c r="G7" s="72"/>
      <c r="H7" s="72"/>
      <c r="I7" s="72"/>
      <c r="J7" s="72"/>
      <c r="K7" s="72"/>
      <c r="L7" s="72"/>
    </row>
    <row r="8">
      <c r="A8" s="74" t="s">
        <v>67</v>
      </c>
      <c r="B8" s="77"/>
      <c r="C8" s="79" t="s">
        <v>7</v>
      </c>
      <c r="D8" s="79" t="s">
        <v>68</v>
      </c>
      <c r="E8" s="75"/>
      <c r="F8" s="75"/>
      <c r="G8" s="81" t="s">
        <v>69</v>
      </c>
      <c r="H8" s="82" t="s">
        <v>70</v>
      </c>
      <c r="I8" s="26"/>
      <c r="J8" s="26"/>
      <c r="K8" s="26"/>
      <c r="L8" s="27"/>
    </row>
    <row r="9">
      <c r="A9" s="74" t="s">
        <v>71</v>
      </c>
      <c r="B9" s="75"/>
      <c r="C9" s="76" t="s">
        <v>7</v>
      </c>
      <c r="D9" s="76" t="s">
        <v>72</v>
      </c>
      <c r="E9" s="75"/>
      <c r="F9" s="75"/>
      <c r="G9" s="83" t="s">
        <v>73</v>
      </c>
      <c r="H9" s="78" t="s">
        <v>74</v>
      </c>
      <c r="I9" s="26"/>
      <c r="J9" s="26"/>
      <c r="K9" s="26"/>
      <c r="L9" s="27"/>
    </row>
    <row r="10">
      <c r="A10" s="74" t="s">
        <v>75</v>
      </c>
      <c r="B10" s="75"/>
      <c r="C10" s="76" t="s">
        <v>7</v>
      </c>
      <c r="D10" s="76" t="s">
        <v>76</v>
      </c>
      <c r="E10" s="75"/>
      <c r="F10" s="77"/>
      <c r="G10" s="83" t="s">
        <v>77</v>
      </c>
      <c r="H10" s="78" t="s">
        <v>78</v>
      </c>
      <c r="I10" s="26"/>
      <c r="J10" s="26"/>
      <c r="K10" s="26"/>
      <c r="L10" s="27"/>
    </row>
    <row r="11">
      <c r="A11" s="74" t="s">
        <v>79</v>
      </c>
      <c r="B11" s="75"/>
      <c r="C11" s="76" t="s">
        <v>7</v>
      </c>
      <c r="D11" s="76" t="s">
        <v>80</v>
      </c>
      <c r="E11" s="75"/>
      <c r="F11" s="77"/>
      <c r="G11" s="83" t="s">
        <v>81</v>
      </c>
      <c r="H11" s="78" t="s">
        <v>82</v>
      </c>
      <c r="I11" s="26"/>
      <c r="J11" s="26"/>
      <c r="K11" s="26"/>
      <c r="L11" s="27"/>
    </row>
    <row r="12">
      <c r="A12" s="80" t="s">
        <v>83</v>
      </c>
      <c r="B12" s="26"/>
      <c r="C12" s="27"/>
      <c r="D12" s="84"/>
      <c r="E12" s="84"/>
      <c r="F12" s="84"/>
      <c r="G12" s="84"/>
      <c r="H12" s="85"/>
      <c r="I12" s="26"/>
      <c r="J12" s="26"/>
      <c r="K12" s="26"/>
      <c r="L12" s="27"/>
    </row>
    <row r="13">
      <c r="A13" s="74" t="s">
        <v>84</v>
      </c>
      <c r="B13" s="75"/>
      <c r="C13" s="76" t="s">
        <v>7</v>
      </c>
      <c r="D13" s="76" t="s">
        <v>85</v>
      </c>
      <c r="E13" s="75"/>
      <c r="F13" s="77"/>
      <c r="G13" s="77"/>
      <c r="H13" s="78" t="s">
        <v>86</v>
      </c>
      <c r="I13" s="26"/>
      <c r="J13" s="26"/>
      <c r="K13" s="26"/>
      <c r="L13" s="27"/>
    </row>
    <row r="14">
      <c r="A14" s="86" t="s">
        <v>87</v>
      </c>
      <c r="B14" s="87"/>
      <c r="C14" s="88" t="s">
        <v>7</v>
      </c>
      <c r="D14" s="88" t="s">
        <v>88</v>
      </c>
      <c r="E14" s="87"/>
      <c r="F14" s="89"/>
      <c r="G14" s="89"/>
      <c r="H14" s="90" t="s">
        <v>89</v>
      </c>
      <c r="I14" s="31"/>
      <c r="J14" s="31"/>
      <c r="K14" s="31"/>
      <c r="L14" s="32"/>
    </row>
    <row r="15">
      <c r="A15" s="91"/>
      <c r="B15" s="19"/>
      <c r="C15" s="92"/>
      <c r="D15" s="92"/>
      <c r="E15" s="19"/>
      <c r="F15" s="93"/>
      <c r="G15" s="94"/>
      <c r="H15" s="95"/>
    </row>
    <row r="16">
      <c r="A16" s="91"/>
      <c r="B16" s="19"/>
      <c r="C16" s="92"/>
      <c r="D16" s="92"/>
      <c r="E16" s="19"/>
      <c r="F16" s="93"/>
      <c r="G16" s="94"/>
      <c r="H16" s="95"/>
    </row>
    <row r="17">
      <c r="A17" s="96"/>
      <c r="D17" s="69"/>
      <c r="E17" s="68"/>
      <c r="F17" s="69"/>
      <c r="G17" s="69"/>
      <c r="H17" s="97"/>
    </row>
    <row r="18">
      <c r="A18" s="91"/>
      <c r="B18" s="68"/>
      <c r="C18" s="69"/>
      <c r="D18" s="69"/>
      <c r="E18" s="68"/>
      <c r="F18" s="69"/>
      <c r="G18" s="69"/>
      <c r="H18" s="97"/>
    </row>
    <row r="19">
      <c r="A19" s="91"/>
      <c r="B19" s="19"/>
      <c r="C19" s="92"/>
      <c r="D19" s="92"/>
      <c r="E19" s="19"/>
      <c r="F19" s="93"/>
      <c r="G19" s="93"/>
      <c r="H19" s="94"/>
    </row>
    <row r="20">
      <c r="A20" s="91"/>
      <c r="B20" s="68"/>
      <c r="C20" s="69"/>
      <c r="D20" s="69"/>
      <c r="E20" s="68"/>
      <c r="F20" s="69"/>
      <c r="G20" s="69"/>
      <c r="H20" s="97"/>
    </row>
  </sheetData>
  <mergeCells count="24">
    <mergeCell ref="A3:B3"/>
    <mergeCell ref="A7:B7"/>
    <mergeCell ref="A12:C12"/>
    <mergeCell ref="A17:C17"/>
    <mergeCell ref="H1:L1"/>
    <mergeCell ref="N1:U1"/>
    <mergeCell ref="H2:L2"/>
    <mergeCell ref="N2:U2"/>
    <mergeCell ref="H4:L4"/>
    <mergeCell ref="H5:L5"/>
    <mergeCell ref="H6:L6"/>
    <mergeCell ref="H15:L15"/>
    <mergeCell ref="H16:L16"/>
    <mergeCell ref="H17:L17"/>
    <mergeCell ref="H18:L18"/>
    <mergeCell ref="H19:L19"/>
    <mergeCell ref="H20:L20"/>
    <mergeCell ref="H8:L8"/>
    <mergeCell ref="H9:L9"/>
    <mergeCell ref="H10:L10"/>
    <mergeCell ref="H11:L11"/>
    <mergeCell ref="H12:L12"/>
    <mergeCell ref="H13:L13"/>
    <mergeCell ref="H14:L14"/>
  </mergeCells>
  <hyperlinks>
    <hyperlink r:id="rId1" ref="N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25"/>
    <col customWidth="1" min="5" max="5" width="14.5"/>
    <col customWidth="1" min="6" max="6" width="18.88"/>
    <col customWidth="1" min="7" max="7" width="24.5"/>
    <col customWidth="1" min="19" max="20" width="13.88"/>
    <col customWidth="1" min="21" max="21" width="18.0"/>
  </cols>
  <sheetData>
    <row r="1">
      <c r="A1" s="24" t="s">
        <v>19</v>
      </c>
      <c r="B1" s="24" t="s">
        <v>20</v>
      </c>
      <c r="C1" s="24" t="s">
        <v>1</v>
      </c>
      <c r="D1" s="24" t="s">
        <v>21</v>
      </c>
      <c r="E1" s="24" t="s">
        <v>22</v>
      </c>
      <c r="F1" s="24" t="s">
        <v>23</v>
      </c>
      <c r="G1" s="24" t="s">
        <v>24</v>
      </c>
      <c r="H1" s="25" t="s">
        <v>25</v>
      </c>
      <c r="I1" s="26"/>
      <c r="J1" s="26"/>
      <c r="K1" s="26"/>
      <c r="L1" s="27"/>
      <c r="N1" s="25" t="s">
        <v>26</v>
      </c>
      <c r="O1" s="26"/>
      <c r="P1" s="26"/>
      <c r="Q1" s="26"/>
      <c r="R1" s="26"/>
      <c r="S1" s="26"/>
      <c r="T1" s="26"/>
      <c r="U1" s="27"/>
    </row>
    <row r="2">
      <c r="A2" s="98" t="s">
        <v>90</v>
      </c>
      <c r="B2" s="99" t="s">
        <v>91</v>
      </c>
      <c r="C2" s="99" t="s">
        <v>8</v>
      </c>
      <c r="D2" s="99" t="s">
        <v>92</v>
      </c>
      <c r="E2" s="99" t="s">
        <v>93</v>
      </c>
      <c r="F2" s="99" t="s">
        <v>94</v>
      </c>
      <c r="G2" s="100" t="s">
        <v>95</v>
      </c>
      <c r="H2" s="101" t="s">
        <v>96</v>
      </c>
      <c r="I2" s="26"/>
      <c r="J2" s="26"/>
      <c r="K2" s="26"/>
      <c r="L2" s="27"/>
      <c r="N2" s="70" t="s">
        <v>97</v>
      </c>
    </row>
    <row r="3">
      <c r="A3" s="98" t="s">
        <v>98</v>
      </c>
      <c r="B3" s="99" t="s">
        <v>91</v>
      </c>
      <c r="C3" s="99" t="s">
        <v>8</v>
      </c>
      <c r="D3" s="99" t="s">
        <v>99</v>
      </c>
      <c r="E3" s="99" t="s">
        <v>100</v>
      </c>
      <c r="F3" s="99" t="s">
        <v>101</v>
      </c>
      <c r="G3" s="100" t="s">
        <v>102</v>
      </c>
      <c r="H3" s="101" t="s">
        <v>103</v>
      </c>
      <c r="I3" s="26"/>
      <c r="J3" s="26"/>
      <c r="K3" s="26"/>
      <c r="L3" s="27"/>
    </row>
    <row r="4">
      <c r="A4" s="98" t="s">
        <v>104</v>
      </c>
      <c r="B4" s="99" t="s">
        <v>105</v>
      </c>
      <c r="C4" s="99" t="s">
        <v>8</v>
      </c>
      <c r="D4" s="99" t="s">
        <v>106</v>
      </c>
      <c r="E4" s="99" t="s">
        <v>107</v>
      </c>
      <c r="F4" s="99" t="s">
        <v>94</v>
      </c>
      <c r="G4" s="102" t="s">
        <v>108</v>
      </c>
      <c r="H4" s="101" t="s">
        <v>109</v>
      </c>
      <c r="I4" s="26"/>
      <c r="J4" s="26"/>
      <c r="K4" s="26"/>
      <c r="L4" s="27"/>
      <c r="N4" s="38" t="s">
        <v>110</v>
      </c>
      <c r="O4" s="26"/>
      <c r="P4" s="26"/>
      <c r="Q4" s="26"/>
      <c r="R4" s="26"/>
      <c r="S4" s="26"/>
      <c r="T4" s="26"/>
      <c r="U4" s="27"/>
    </row>
    <row r="5">
      <c r="A5" s="98" t="s">
        <v>111</v>
      </c>
      <c r="B5" s="100" t="s">
        <v>112</v>
      </c>
      <c r="C5" s="99" t="s">
        <v>8</v>
      </c>
      <c r="D5" s="99" t="s">
        <v>113</v>
      </c>
      <c r="E5" s="103" t="s">
        <v>114</v>
      </c>
      <c r="F5" s="99" t="s">
        <v>32</v>
      </c>
      <c r="G5" s="100" t="s">
        <v>115</v>
      </c>
      <c r="H5" s="101" t="s">
        <v>116</v>
      </c>
      <c r="I5" s="26"/>
      <c r="J5" s="26"/>
      <c r="K5" s="26"/>
      <c r="L5" s="27"/>
    </row>
    <row r="6">
      <c r="A6" s="98" t="s">
        <v>117</v>
      </c>
      <c r="B6" s="103" t="s">
        <v>91</v>
      </c>
      <c r="C6" s="99" t="s">
        <v>8</v>
      </c>
      <c r="D6" s="99" t="s">
        <v>118</v>
      </c>
      <c r="E6" s="104"/>
      <c r="F6" s="103" t="s">
        <v>32</v>
      </c>
      <c r="G6" s="102" t="s">
        <v>119</v>
      </c>
      <c r="H6" s="101" t="s">
        <v>120</v>
      </c>
      <c r="I6" s="26"/>
      <c r="J6" s="26"/>
      <c r="K6" s="26"/>
      <c r="L6" s="27"/>
    </row>
    <row r="7">
      <c r="A7" s="105" t="s">
        <v>37</v>
      </c>
      <c r="B7" s="27"/>
    </row>
    <row r="8">
      <c r="A8" s="98" t="s">
        <v>121</v>
      </c>
      <c r="B8" s="104"/>
      <c r="C8" s="99" t="s">
        <v>8</v>
      </c>
      <c r="D8" s="99" t="s">
        <v>122</v>
      </c>
      <c r="E8" s="104"/>
      <c r="F8" s="104"/>
      <c r="G8" s="100" t="s">
        <v>123</v>
      </c>
      <c r="H8" s="106" t="s">
        <v>124</v>
      </c>
      <c r="I8" s="26"/>
      <c r="J8" s="26"/>
      <c r="K8" s="26"/>
      <c r="L8" s="27"/>
    </row>
    <row r="9">
      <c r="A9" s="98" t="s">
        <v>125</v>
      </c>
      <c r="B9" s="104"/>
      <c r="C9" s="99" t="s">
        <v>8</v>
      </c>
      <c r="D9" s="99" t="s">
        <v>126</v>
      </c>
      <c r="E9" s="104"/>
      <c r="F9" s="107"/>
      <c r="G9" s="100" t="s">
        <v>127</v>
      </c>
      <c r="H9" s="106" t="s">
        <v>128</v>
      </c>
      <c r="I9" s="26"/>
      <c r="J9" s="26"/>
      <c r="K9" s="26"/>
      <c r="L9" s="27"/>
    </row>
    <row r="10">
      <c r="A10" s="98" t="s">
        <v>129</v>
      </c>
      <c r="B10" s="104"/>
      <c r="C10" s="99" t="s">
        <v>8</v>
      </c>
      <c r="D10" s="99" t="s">
        <v>130</v>
      </c>
      <c r="E10" s="104"/>
      <c r="F10" s="99" t="s">
        <v>44</v>
      </c>
      <c r="G10" s="100" t="s">
        <v>131</v>
      </c>
      <c r="H10" s="106" t="s">
        <v>132</v>
      </c>
      <c r="I10" s="26"/>
      <c r="J10" s="26"/>
      <c r="K10" s="26"/>
      <c r="L10" s="27"/>
    </row>
    <row r="11">
      <c r="A11" s="98" t="s">
        <v>133</v>
      </c>
      <c r="B11" s="104"/>
      <c r="C11" s="103" t="s">
        <v>8</v>
      </c>
      <c r="D11" s="103" t="s">
        <v>134</v>
      </c>
      <c r="E11" s="104"/>
      <c r="F11" s="103" t="s">
        <v>44</v>
      </c>
      <c r="G11" s="100" t="s">
        <v>135</v>
      </c>
      <c r="H11" s="106" t="s">
        <v>136</v>
      </c>
      <c r="I11" s="26"/>
      <c r="J11" s="26"/>
      <c r="K11" s="26"/>
      <c r="L11" s="27"/>
    </row>
    <row r="12">
      <c r="A12" s="49" t="s">
        <v>47</v>
      </c>
      <c r="B12" s="27"/>
    </row>
    <row r="13">
      <c r="A13" s="108">
        <v>0.13194444444444445</v>
      </c>
      <c r="B13" s="104"/>
      <c r="C13" s="103" t="s">
        <v>8</v>
      </c>
      <c r="D13" s="100" t="s">
        <v>137</v>
      </c>
      <c r="E13" s="102" t="s">
        <v>138</v>
      </c>
      <c r="F13" s="107"/>
      <c r="G13" s="100" t="s">
        <v>139</v>
      </c>
      <c r="H13" s="106" t="s">
        <v>140</v>
      </c>
      <c r="I13" s="26"/>
      <c r="J13" s="26"/>
      <c r="K13" s="26"/>
      <c r="L13" s="27"/>
    </row>
    <row r="14">
      <c r="A14" s="108">
        <v>0.1326388888888889</v>
      </c>
      <c r="B14" s="104"/>
      <c r="C14" s="103" t="s">
        <v>8</v>
      </c>
      <c r="D14" s="100" t="s">
        <v>141</v>
      </c>
      <c r="E14" s="104"/>
      <c r="F14" s="99"/>
      <c r="G14" s="100" t="s">
        <v>142</v>
      </c>
      <c r="H14" s="106" t="s">
        <v>143</v>
      </c>
      <c r="I14" s="26"/>
      <c r="J14" s="26"/>
      <c r="K14" s="26"/>
      <c r="L14" s="27"/>
    </row>
    <row r="15">
      <c r="A15" s="108">
        <v>0.13333333333333333</v>
      </c>
      <c r="B15" s="104"/>
      <c r="C15" s="103" t="s">
        <v>8</v>
      </c>
      <c r="D15" s="100" t="s">
        <v>144</v>
      </c>
      <c r="E15" s="104"/>
      <c r="F15" s="103"/>
      <c r="G15" s="100" t="s">
        <v>145</v>
      </c>
      <c r="H15" s="106" t="s">
        <v>146</v>
      </c>
      <c r="I15" s="26"/>
      <c r="J15" s="26"/>
      <c r="K15" s="26"/>
      <c r="L15" s="27"/>
    </row>
    <row r="16">
      <c r="A16" s="108">
        <v>0.13402777777777777</v>
      </c>
      <c r="B16" s="109"/>
      <c r="C16" s="110" t="s">
        <v>8</v>
      </c>
      <c r="D16" s="111" t="s">
        <v>147</v>
      </c>
      <c r="E16" s="112" t="s">
        <v>138</v>
      </c>
      <c r="F16" s="113"/>
      <c r="G16" s="114" t="s">
        <v>148</v>
      </c>
      <c r="H16" s="115" t="s">
        <v>149</v>
      </c>
      <c r="I16" s="26"/>
      <c r="J16" s="26"/>
      <c r="K16" s="26"/>
      <c r="L16" s="27"/>
    </row>
    <row r="17">
      <c r="A17" s="108">
        <v>0.13472222222222222</v>
      </c>
      <c r="B17" s="109"/>
      <c r="C17" s="110" t="s">
        <v>8</v>
      </c>
      <c r="D17" s="111" t="s">
        <v>150</v>
      </c>
      <c r="E17" s="109"/>
      <c r="F17" s="113"/>
      <c r="G17" s="114" t="s">
        <v>151</v>
      </c>
      <c r="H17" s="115" t="s">
        <v>152</v>
      </c>
      <c r="I17" s="26"/>
      <c r="J17" s="26"/>
      <c r="K17" s="26"/>
      <c r="L17" s="27"/>
    </row>
    <row r="18">
      <c r="A18" s="108">
        <v>0.13541666666666666</v>
      </c>
      <c r="B18" s="109"/>
      <c r="C18" s="110" t="s">
        <v>8</v>
      </c>
      <c r="D18" s="111" t="s">
        <v>153</v>
      </c>
      <c r="E18" s="113"/>
      <c r="F18" s="109"/>
      <c r="G18" s="114" t="s">
        <v>154</v>
      </c>
      <c r="H18" s="115" t="s">
        <v>155</v>
      </c>
      <c r="I18" s="26"/>
      <c r="J18" s="26"/>
      <c r="K18" s="26"/>
      <c r="L18" s="27"/>
    </row>
    <row r="19">
      <c r="A19" s="108">
        <v>0.1361111111111111</v>
      </c>
      <c r="B19" s="116" t="s">
        <v>156</v>
      </c>
      <c r="C19" s="110" t="s">
        <v>8</v>
      </c>
      <c r="D19" s="111" t="s">
        <v>157</v>
      </c>
      <c r="E19" s="112" t="s">
        <v>158</v>
      </c>
      <c r="F19" s="113"/>
      <c r="G19" s="114" t="s">
        <v>159</v>
      </c>
      <c r="H19" s="115" t="s">
        <v>160</v>
      </c>
      <c r="I19" s="26"/>
      <c r="J19" s="26"/>
      <c r="K19" s="26"/>
      <c r="L19" s="27"/>
    </row>
    <row r="20">
      <c r="A20" s="108">
        <v>0.13680555555555557</v>
      </c>
      <c r="B20" s="116" t="s">
        <v>156</v>
      </c>
      <c r="C20" s="110" t="s">
        <v>8</v>
      </c>
      <c r="D20" s="111" t="s">
        <v>161</v>
      </c>
      <c r="E20" s="109"/>
      <c r="F20" s="113"/>
      <c r="G20" s="114" t="s">
        <v>162</v>
      </c>
      <c r="H20" s="115" t="s">
        <v>163</v>
      </c>
      <c r="I20" s="26"/>
      <c r="J20" s="26"/>
      <c r="K20" s="26"/>
      <c r="L20" s="27"/>
    </row>
    <row r="21">
      <c r="A21" s="108">
        <v>0.1375</v>
      </c>
      <c r="B21" s="109"/>
      <c r="C21" s="110" t="s">
        <v>8</v>
      </c>
      <c r="D21" s="111" t="s">
        <v>164</v>
      </c>
      <c r="E21" s="116" t="s">
        <v>158</v>
      </c>
      <c r="F21" s="109"/>
      <c r="G21" s="114" t="s">
        <v>165</v>
      </c>
      <c r="H21" s="115" t="s">
        <v>166</v>
      </c>
      <c r="I21" s="26"/>
      <c r="J21" s="26"/>
      <c r="K21" s="26"/>
      <c r="L21" s="27"/>
    </row>
    <row r="22">
      <c r="A22" s="108">
        <v>0.13819444444444445</v>
      </c>
      <c r="B22" s="116" t="s">
        <v>156</v>
      </c>
      <c r="C22" s="110" t="s">
        <v>8</v>
      </c>
      <c r="D22" s="111" t="s">
        <v>167</v>
      </c>
      <c r="E22" s="109"/>
      <c r="F22" s="113"/>
      <c r="G22" s="114" t="s">
        <v>168</v>
      </c>
      <c r="H22" s="117" t="s">
        <v>169</v>
      </c>
      <c r="I22" s="26"/>
      <c r="J22" s="26"/>
      <c r="K22" s="26"/>
      <c r="L22" s="27"/>
    </row>
    <row r="23">
      <c r="A23" s="118">
        <v>0.1388888888888889</v>
      </c>
      <c r="B23" s="119"/>
      <c r="C23" s="120" t="s">
        <v>8</v>
      </c>
      <c r="D23" s="121" t="s">
        <v>170</v>
      </c>
      <c r="E23" s="119"/>
      <c r="F23" s="122"/>
      <c r="G23" s="123" t="s">
        <v>171</v>
      </c>
      <c r="H23" s="124" t="s">
        <v>172</v>
      </c>
      <c r="I23" s="31"/>
      <c r="J23" s="31"/>
      <c r="K23" s="31"/>
      <c r="L23" s="32"/>
    </row>
    <row r="24">
      <c r="A24" s="49" t="s">
        <v>83</v>
      </c>
      <c r="B24" s="26"/>
      <c r="C24" s="27"/>
      <c r="D24" s="125"/>
      <c r="E24" s="126"/>
      <c r="F24" s="127"/>
      <c r="G24" s="127"/>
      <c r="H24" s="128"/>
    </row>
    <row r="25">
      <c r="A25" s="129">
        <v>0.13958333333333334</v>
      </c>
      <c r="B25" s="130"/>
      <c r="C25" s="131" t="s">
        <v>8</v>
      </c>
      <c r="D25" s="132" t="s">
        <v>173</v>
      </c>
      <c r="E25" s="130"/>
      <c r="F25" s="130"/>
      <c r="G25" s="133"/>
      <c r="H25" s="134" t="s">
        <v>174</v>
      </c>
      <c r="L25" s="135"/>
    </row>
    <row r="26">
      <c r="A26" s="108">
        <v>0.14027777777777778</v>
      </c>
      <c r="B26" s="109"/>
      <c r="C26" s="110" t="s">
        <v>8</v>
      </c>
      <c r="D26" s="111" t="s">
        <v>175</v>
      </c>
      <c r="E26" s="109"/>
      <c r="F26" s="113"/>
      <c r="G26" s="136"/>
      <c r="H26" s="115" t="s">
        <v>176</v>
      </c>
      <c r="I26" s="26"/>
      <c r="J26" s="26"/>
      <c r="K26" s="26"/>
      <c r="L26" s="27"/>
    </row>
    <row r="27">
      <c r="A27" s="108">
        <v>0.14097222222222222</v>
      </c>
      <c r="B27" s="109"/>
      <c r="C27" s="110" t="s">
        <v>8</v>
      </c>
      <c r="D27" s="111" t="s">
        <v>177</v>
      </c>
      <c r="E27" s="109"/>
      <c r="F27" s="113"/>
      <c r="G27" s="136"/>
      <c r="H27" s="115" t="s">
        <v>178</v>
      </c>
      <c r="I27" s="26"/>
      <c r="J27" s="26"/>
      <c r="K27" s="26"/>
      <c r="L27" s="27"/>
    </row>
    <row r="28">
      <c r="A28" s="108">
        <v>0.14166666666666666</v>
      </c>
      <c r="B28" s="109"/>
      <c r="C28" s="110" t="s">
        <v>8</v>
      </c>
      <c r="D28" s="111" t="s">
        <v>179</v>
      </c>
      <c r="E28" s="109"/>
      <c r="F28" s="109"/>
      <c r="G28" s="116"/>
      <c r="H28" s="115" t="s">
        <v>180</v>
      </c>
      <c r="I28" s="26"/>
      <c r="J28" s="26"/>
      <c r="K28" s="26"/>
      <c r="L28" s="27"/>
    </row>
    <row r="29">
      <c r="A29" s="108">
        <v>0.1423611111111111</v>
      </c>
      <c r="B29" s="113"/>
      <c r="C29" s="110" t="s">
        <v>8</v>
      </c>
      <c r="D29" s="111" t="s">
        <v>181</v>
      </c>
      <c r="E29" s="109"/>
      <c r="F29" s="113"/>
      <c r="G29" s="136"/>
      <c r="H29" s="115" t="s">
        <v>182</v>
      </c>
      <c r="I29" s="26"/>
      <c r="J29" s="26"/>
      <c r="K29" s="26"/>
      <c r="L29" s="27"/>
    </row>
    <row r="30">
      <c r="A30" s="108">
        <v>0.14305555555555555</v>
      </c>
      <c r="B30" s="113"/>
      <c r="C30" s="110" t="s">
        <v>8</v>
      </c>
      <c r="D30" s="111" t="s">
        <v>183</v>
      </c>
      <c r="E30" s="116" t="s">
        <v>184</v>
      </c>
      <c r="F30" s="113"/>
      <c r="G30" s="136"/>
      <c r="H30" s="115" t="s">
        <v>185</v>
      </c>
      <c r="I30" s="26"/>
      <c r="J30" s="26"/>
      <c r="K30" s="26"/>
      <c r="L30" s="27"/>
    </row>
    <row r="31">
      <c r="A31" s="108">
        <v>0.14375</v>
      </c>
      <c r="B31" s="109"/>
      <c r="C31" s="110" t="s">
        <v>8</v>
      </c>
      <c r="D31" s="111" t="s">
        <v>186</v>
      </c>
      <c r="E31" s="113"/>
      <c r="F31" s="109"/>
      <c r="G31" s="116"/>
      <c r="H31" s="115" t="s">
        <v>187</v>
      </c>
      <c r="I31" s="26"/>
      <c r="J31" s="26"/>
      <c r="K31" s="26"/>
      <c r="L31" s="27"/>
    </row>
    <row r="32">
      <c r="A32" s="108">
        <v>0.14444444444444443</v>
      </c>
      <c r="B32" s="109"/>
      <c r="C32" s="110" t="s">
        <v>8</v>
      </c>
      <c r="D32" s="111" t="s">
        <v>188</v>
      </c>
      <c r="E32" s="136" t="s">
        <v>189</v>
      </c>
      <c r="F32" s="113"/>
      <c r="G32" s="136"/>
      <c r="H32" s="115" t="s">
        <v>190</v>
      </c>
      <c r="I32" s="26"/>
      <c r="J32" s="26"/>
      <c r="K32" s="26"/>
      <c r="L32" s="27"/>
    </row>
    <row r="33">
      <c r="A33" s="108">
        <v>0.1451388888888889</v>
      </c>
      <c r="B33" s="113"/>
      <c r="C33" s="110" t="s">
        <v>8</v>
      </c>
      <c r="D33" s="111" t="s">
        <v>191</v>
      </c>
      <c r="E33" s="109"/>
      <c r="F33" s="109"/>
      <c r="G33" s="116"/>
      <c r="H33" s="115" t="s">
        <v>192</v>
      </c>
      <c r="I33" s="26"/>
      <c r="J33" s="26"/>
      <c r="K33" s="26"/>
      <c r="L33" s="27"/>
    </row>
    <row r="34">
      <c r="A34" s="108">
        <v>0.14583333333333334</v>
      </c>
      <c r="B34" s="109"/>
      <c r="C34" s="110" t="s">
        <v>8</v>
      </c>
      <c r="D34" s="111" t="s">
        <v>193</v>
      </c>
      <c r="E34" s="109"/>
      <c r="F34" s="113"/>
      <c r="G34" s="136"/>
      <c r="H34" s="115" t="s">
        <v>194</v>
      </c>
      <c r="I34" s="26"/>
      <c r="J34" s="26"/>
      <c r="K34" s="26"/>
      <c r="L34" s="27"/>
    </row>
    <row r="35">
      <c r="A35" s="118">
        <v>0.14652777777777778</v>
      </c>
      <c r="B35" s="119"/>
      <c r="C35" s="120" t="s">
        <v>8</v>
      </c>
      <c r="D35" s="121" t="s">
        <v>195</v>
      </c>
      <c r="E35" s="119"/>
      <c r="F35" s="119"/>
      <c r="G35" s="137"/>
      <c r="H35" s="124" t="s">
        <v>196</v>
      </c>
      <c r="I35" s="31"/>
      <c r="J35" s="31"/>
      <c r="K35" s="31"/>
      <c r="L35" s="32"/>
    </row>
    <row r="36">
      <c r="A36" s="138"/>
      <c r="B36" s="19"/>
      <c r="C36" s="139"/>
      <c r="D36" s="92"/>
      <c r="E36" s="19"/>
      <c r="F36" s="19"/>
      <c r="G36" s="19"/>
      <c r="H36" s="95"/>
    </row>
    <row r="37">
      <c r="A37" s="138"/>
      <c r="B37" s="19"/>
      <c r="C37" s="139"/>
      <c r="D37" s="92"/>
      <c r="E37" s="19"/>
      <c r="F37" s="93"/>
      <c r="G37" s="93"/>
      <c r="H37" s="95"/>
    </row>
    <row r="38">
      <c r="A38" s="138"/>
      <c r="B38" s="19"/>
      <c r="C38" s="139"/>
      <c r="D38" s="92"/>
      <c r="E38" s="19"/>
      <c r="F38" s="19"/>
      <c r="G38" s="19"/>
      <c r="H38" s="95"/>
    </row>
    <row r="39">
      <c r="B39" s="19"/>
      <c r="C39" s="139"/>
      <c r="D39" s="139"/>
      <c r="E39" s="140"/>
      <c r="F39" s="19"/>
      <c r="G39" s="19"/>
      <c r="H39" s="140"/>
    </row>
    <row r="40">
      <c r="B40" s="19"/>
      <c r="C40" s="139"/>
      <c r="D40" s="139"/>
      <c r="E40" s="19"/>
      <c r="F40" s="19"/>
      <c r="G40" s="19"/>
      <c r="H40" s="140"/>
    </row>
    <row r="41">
      <c r="B41" s="19"/>
      <c r="C41" s="139"/>
      <c r="D41" s="139"/>
      <c r="E41" s="140"/>
      <c r="F41" s="19"/>
      <c r="G41" s="19"/>
      <c r="H41" s="140"/>
    </row>
    <row r="42">
      <c r="B42" s="19"/>
      <c r="C42" s="139"/>
      <c r="D42" s="139"/>
      <c r="E42" s="19"/>
      <c r="F42" s="19"/>
      <c r="G42" s="19"/>
      <c r="H42" s="140"/>
    </row>
    <row r="43">
      <c r="B43" s="19"/>
      <c r="C43" s="139"/>
      <c r="D43" s="139"/>
      <c r="E43" s="19"/>
      <c r="F43" s="19"/>
      <c r="G43" s="19"/>
      <c r="H43" s="140"/>
    </row>
    <row r="44">
      <c r="B44" s="19"/>
      <c r="C44" s="139"/>
      <c r="D44" s="139"/>
      <c r="E44" s="19"/>
      <c r="F44" s="19"/>
      <c r="G44" s="19"/>
      <c r="H44" s="140"/>
    </row>
  </sheetData>
  <mergeCells count="48">
    <mergeCell ref="H1:L1"/>
    <mergeCell ref="N1:U1"/>
    <mergeCell ref="H2:L2"/>
    <mergeCell ref="N2:U2"/>
    <mergeCell ref="H3:L3"/>
    <mergeCell ref="H4:L4"/>
    <mergeCell ref="N4:U4"/>
    <mergeCell ref="H5:L5"/>
    <mergeCell ref="H6:L6"/>
    <mergeCell ref="A7:B7"/>
    <mergeCell ref="H8:L8"/>
    <mergeCell ref="H9:L9"/>
    <mergeCell ref="H10:L10"/>
    <mergeCell ref="A12:B12"/>
    <mergeCell ref="H11:L11"/>
    <mergeCell ref="H13:L13"/>
    <mergeCell ref="H14:L14"/>
    <mergeCell ref="H15:L15"/>
    <mergeCell ref="H16:L16"/>
    <mergeCell ref="H17:L17"/>
    <mergeCell ref="H18:L18"/>
    <mergeCell ref="H19:L19"/>
    <mergeCell ref="H20:L20"/>
    <mergeCell ref="H21:L21"/>
    <mergeCell ref="H22:L22"/>
    <mergeCell ref="H23:L23"/>
    <mergeCell ref="A24:C24"/>
    <mergeCell ref="H24:L24"/>
    <mergeCell ref="H25:L25"/>
    <mergeCell ref="H26:L26"/>
    <mergeCell ref="H27:L27"/>
    <mergeCell ref="H28:L28"/>
    <mergeCell ref="H29:L29"/>
    <mergeCell ref="H30:L30"/>
    <mergeCell ref="H31:L31"/>
    <mergeCell ref="H39:L39"/>
    <mergeCell ref="H40:L40"/>
    <mergeCell ref="H41:L41"/>
    <mergeCell ref="H42:L42"/>
    <mergeCell ref="H43:L43"/>
    <mergeCell ref="H44:L44"/>
    <mergeCell ref="H32:L32"/>
    <mergeCell ref="H33:L33"/>
    <mergeCell ref="H34:L34"/>
    <mergeCell ref="H35:L35"/>
    <mergeCell ref="H36:L36"/>
    <mergeCell ref="H37:L37"/>
    <mergeCell ref="H38:L38"/>
  </mergeCells>
  <hyperlinks>
    <hyperlink r:id="rId1" ref="N2"/>
    <hyperlink r:id="rId2" ref="N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25"/>
    <col customWidth="1" min="4" max="4" width="16.25"/>
    <col customWidth="1" min="5" max="5" width="14.5"/>
    <col customWidth="1" min="6" max="6" width="19.13"/>
    <col customWidth="1" min="7" max="7" width="20.63"/>
  </cols>
  <sheetData>
    <row r="1">
      <c r="A1" s="24" t="s">
        <v>19</v>
      </c>
      <c r="B1" s="24" t="s">
        <v>20</v>
      </c>
      <c r="C1" s="24" t="s">
        <v>1</v>
      </c>
      <c r="D1" s="24" t="s">
        <v>21</v>
      </c>
      <c r="E1" s="24" t="s">
        <v>22</v>
      </c>
      <c r="F1" s="24" t="s">
        <v>23</v>
      </c>
      <c r="G1" s="24" t="s">
        <v>24</v>
      </c>
      <c r="H1" s="25" t="s">
        <v>25</v>
      </c>
      <c r="I1" s="26"/>
      <c r="J1" s="26"/>
      <c r="K1" s="26"/>
      <c r="L1" s="27"/>
      <c r="N1" s="25" t="s">
        <v>26</v>
      </c>
      <c r="O1" s="26"/>
      <c r="P1" s="26"/>
      <c r="Q1" s="26"/>
      <c r="R1" s="26"/>
      <c r="S1" s="26"/>
      <c r="T1" s="26"/>
      <c r="U1" s="27"/>
    </row>
    <row r="2">
      <c r="A2" s="141" t="s">
        <v>197</v>
      </c>
      <c r="B2" s="142" t="s">
        <v>91</v>
      </c>
      <c r="C2" s="142" t="s">
        <v>9</v>
      </c>
      <c r="D2" s="142" t="s">
        <v>198</v>
      </c>
      <c r="E2" s="143"/>
      <c r="F2" s="142" t="s">
        <v>199</v>
      </c>
      <c r="G2" s="142" t="s">
        <v>200</v>
      </c>
      <c r="H2" s="144" t="s">
        <v>201</v>
      </c>
      <c r="I2" s="26"/>
      <c r="J2" s="26"/>
      <c r="K2" s="26"/>
      <c r="L2" s="27"/>
      <c r="N2" s="70" t="s">
        <v>202</v>
      </c>
    </row>
    <row r="3">
      <c r="A3" s="141" t="s">
        <v>203</v>
      </c>
      <c r="B3" s="142" t="s">
        <v>204</v>
      </c>
      <c r="C3" s="142" t="s">
        <v>9</v>
      </c>
      <c r="D3" s="142" t="s">
        <v>205</v>
      </c>
      <c r="E3" s="142" t="s">
        <v>206</v>
      </c>
      <c r="F3" s="142" t="s">
        <v>199</v>
      </c>
      <c r="G3" s="142" t="s">
        <v>207</v>
      </c>
      <c r="H3" s="144" t="s">
        <v>208</v>
      </c>
      <c r="I3" s="26"/>
      <c r="J3" s="26"/>
      <c r="K3" s="26"/>
      <c r="L3" s="27"/>
      <c r="N3" s="145"/>
    </row>
    <row r="4">
      <c r="A4" s="141" t="s">
        <v>209</v>
      </c>
      <c r="B4" s="142" t="s">
        <v>91</v>
      </c>
      <c r="C4" s="142" t="s">
        <v>9</v>
      </c>
      <c r="D4" s="143"/>
      <c r="E4" s="142" t="s">
        <v>210</v>
      </c>
      <c r="F4" s="142" t="s">
        <v>199</v>
      </c>
      <c r="G4" s="142" t="s">
        <v>211</v>
      </c>
      <c r="H4" s="144" t="s">
        <v>212</v>
      </c>
      <c r="I4" s="26"/>
      <c r="J4" s="26"/>
      <c r="K4" s="26"/>
      <c r="L4" s="27"/>
      <c r="N4" s="146"/>
    </row>
    <row r="5">
      <c r="A5" s="141" t="s">
        <v>213</v>
      </c>
      <c r="B5" s="142" t="s">
        <v>91</v>
      </c>
      <c r="C5" s="142" t="s">
        <v>9</v>
      </c>
      <c r="D5" s="142" t="s">
        <v>214</v>
      </c>
      <c r="E5" s="143"/>
      <c r="F5" s="142" t="s">
        <v>199</v>
      </c>
      <c r="G5" s="142" t="s">
        <v>215</v>
      </c>
      <c r="H5" s="144" t="s">
        <v>216</v>
      </c>
      <c r="I5" s="26"/>
      <c r="J5" s="26"/>
      <c r="K5" s="26"/>
      <c r="L5" s="27"/>
      <c r="N5" s="146"/>
    </row>
    <row r="6">
      <c r="A6" s="141" t="s">
        <v>217</v>
      </c>
      <c r="B6" s="142" t="s">
        <v>91</v>
      </c>
      <c r="C6" s="142" t="s">
        <v>9</v>
      </c>
      <c r="D6" s="142" t="s">
        <v>218</v>
      </c>
      <c r="E6" s="142" t="s">
        <v>219</v>
      </c>
      <c r="F6" s="142" t="s">
        <v>94</v>
      </c>
      <c r="G6" s="142" t="s">
        <v>220</v>
      </c>
      <c r="H6" s="144" t="s">
        <v>221</v>
      </c>
      <c r="I6" s="26"/>
      <c r="J6" s="26"/>
      <c r="K6" s="26"/>
      <c r="L6" s="27"/>
      <c r="N6" s="146"/>
    </row>
    <row r="7">
      <c r="A7" s="141" t="s">
        <v>222</v>
      </c>
      <c r="B7" s="142" t="s">
        <v>91</v>
      </c>
      <c r="C7" s="142" t="s">
        <v>9</v>
      </c>
      <c r="D7" s="142" t="s">
        <v>223</v>
      </c>
      <c r="E7" s="142" t="s">
        <v>224</v>
      </c>
      <c r="F7" s="142" t="s">
        <v>94</v>
      </c>
      <c r="G7" s="147" t="s">
        <v>225</v>
      </c>
      <c r="H7" s="144" t="s">
        <v>226</v>
      </c>
      <c r="I7" s="26"/>
      <c r="J7" s="26"/>
      <c r="K7" s="26"/>
      <c r="L7" s="27"/>
      <c r="N7" s="146"/>
    </row>
    <row r="8">
      <c r="A8" s="141" t="s">
        <v>227</v>
      </c>
      <c r="B8" s="142" t="s">
        <v>91</v>
      </c>
      <c r="C8" s="142" t="s">
        <v>9</v>
      </c>
      <c r="D8" s="142" t="s">
        <v>228</v>
      </c>
      <c r="E8" s="142" t="s">
        <v>107</v>
      </c>
      <c r="F8" s="142" t="s">
        <v>94</v>
      </c>
      <c r="G8" s="142" t="s">
        <v>229</v>
      </c>
      <c r="H8" s="148" t="s">
        <v>230</v>
      </c>
      <c r="I8" s="26"/>
      <c r="J8" s="26"/>
      <c r="K8" s="26"/>
      <c r="L8" s="27"/>
      <c r="N8" s="146"/>
    </row>
    <row r="9">
      <c r="A9" s="141" t="s">
        <v>231</v>
      </c>
      <c r="B9" s="142" t="s">
        <v>105</v>
      </c>
      <c r="C9" s="142" t="s">
        <v>9</v>
      </c>
      <c r="D9" s="142" t="s">
        <v>232</v>
      </c>
      <c r="E9" s="142" t="s">
        <v>233</v>
      </c>
      <c r="F9" s="142" t="s">
        <v>101</v>
      </c>
      <c r="G9" s="142" t="s">
        <v>234</v>
      </c>
      <c r="H9" s="144" t="s">
        <v>235</v>
      </c>
      <c r="I9" s="26"/>
      <c r="J9" s="26"/>
      <c r="K9" s="26"/>
      <c r="L9" s="27"/>
      <c r="N9" s="146"/>
    </row>
    <row r="10">
      <c r="A10" s="141" t="s">
        <v>236</v>
      </c>
      <c r="B10" s="142" t="s">
        <v>91</v>
      </c>
      <c r="C10" s="142" t="s">
        <v>9</v>
      </c>
      <c r="D10" s="142" t="s">
        <v>237</v>
      </c>
      <c r="E10" s="142" t="s">
        <v>238</v>
      </c>
      <c r="F10" s="142" t="s">
        <v>32</v>
      </c>
      <c r="G10" s="147" t="s">
        <v>239</v>
      </c>
      <c r="H10" s="144" t="s">
        <v>240</v>
      </c>
      <c r="I10" s="26"/>
      <c r="J10" s="26"/>
      <c r="K10" s="26"/>
      <c r="L10" s="27"/>
      <c r="N10" s="146"/>
    </row>
    <row r="11">
      <c r="A11" s="149">
        <v>0.1736111111111111</v>
      </c>
      <c r="B11" s="142" t="s">
        <v>241</v>
      </c>
      <c r="C11" s="142" t="s">
        <v>9</v>
      </c>
      <c r="D11" s="142" t="s">
        <v>242</v>
      </c>
      <c r="E11" s="142" t="s">
        <v>243</v>
      </c>
      <c r="F11" s="142" t="s">
        <v>32</v>
      </c>
      <c r="G11" s="142" t="s">
        <v>244</v>
      </c>
      <c r="H11" s="144" t="s">
        <v>245</v>
      </c>
      <c r="I11" s="26"/>
      <c r="J11" s="26"/>
      <c r="K11" s="26"/>
      <c r="L11" s="27"/>
      <c r="N11" s="146"/>
    </row>
    <row r="12">
      <c r="A12" s="149">
        <v>0.17430555555555555</v>
      </c>
      <c r="B12" s="142" t="s">
        <v>246</v>
      </c>
      <c r="C12" s="142" t="s">
        <v>9</v>
      </c>
      <c r="D12" s="142" t="s">
        <v>247</v>
      </c>
      <c r="E12" s="143"/>
      <c r="F12" s="142" t="s">
        <v>32</v>
      </c>
      <c r="G12" s="142" t="s">
        <v>248</v>
      </c>
      <c r="H12" s="144" t="s">
        <v>249</v>
      </c>
      <c r="I12" s="26"/>
      <c r="J12" s="26"/>
      <c r="K12" s="26"/>
      <c r="L12" s="27"/>
      <c r="N12" s="146"/>
    </row>
    <row r="13">
      <c r="A13" s="105" t="s">
        <v>37</v>
      </c>
      <c r="B13" s="27"/>
    </row>
    <row r="14">
      <c r="A14" s="149">
        <v>0.175</v>
      </c>
      <c r="B14" s="143"/>
      <c r="C14" s="142" t="s">
        <v>9</v>
      </c>
      <c r="D14" s="142" t="s">
        <v>250</v>
      </c>
      <c r="E14" s="143"/>
      <c r="F14" s="143"/>
      <c r="G14" s="142" t="s">
        <v>251</v>
      </c>
      <c r="H14" s="148" t="s">
        <v>252</v>
      </c>
      <c r="I14" s="26"/>
      <c r="J14" s="26"/>
      <c r="K14" s="26"/>
      <c r="L14" s="27"/>
    </row>
    <row r="15">
      <c r="A15" s="149">
        <v>0.17569444444444443</v>
      </c>
      <c r="B15" s="143"/>
      <c r="C15" s="142" t="s">
        <v>9</v>
      </c>
      <c r="D15" s="142" t="s">
        <v>253</v>
      </c>
      <c r="E15" s="143"/>
      <c r="F15" s="142" t="s">
        <v>44</v>
      </c>
      <c r="G15" s="142" t="s">
        <v>254</v>
      </c>
      <c r="H15" s="148" t="s">
        <v>255</v>
      </c>
      <c r="I15" s="26"/>
      <c r="J15" s="26"/>
      <c r="K15" s="26"/>
      <c r="L15" s="27"/>
    </row>
    <row r="16">
      <c r="A16" s="149">
        <v>0.1763888888888889</v>
      </c>
      <c r="B16" s="143"/>
      <c r="C16" s="142" t="s">
        <v>9</v>
      </c>
      <c r="D16" s="142" t="s">
        <v>256</v>
      </c>
      <c r="E16" s="143"/>
      <c r="F16" s="142" t="s">
        <v>44</v>
      </c>
      <c r="G16" s="142" t="s">
        <v>257</v>
      </c>
      <c r="H16" s="148" t="s">
        <v>258</v>
      </c>
      <c r="I16" s="26"/>
      <c r="J16" s="26"/>
      <c r="K16" s="26"/>
      <c r="L16" s="27"/>
    </row>
    <row r="17">
      <c r="A17" s="49" t="s">
        <v>47</v>
      </c>
      <c r="B17" s="27"/>
    </row>
    <row r="18">
      <c r="A18" s="149">
        <v>0.17708333333333334</v>
      </c>
      <c r="B18" s="143"/>
      <c r="C18" s="150" t="s">
        <v>9</v>
      </c>
      <c r="D18" s="150" t="s">
        <v>259</v>
      </c>
      <c r="E18" s="151"/>
      <c r="F18" s="151"/>
      <c r="G18" s="152" t="s">
        <v>260</v>
      </c>
      <c r="H18" s="153" t="s">
        <v>261</v>
      </c>
      <c r="I18" s="26"/>
      <c r="J18" s="26"/>
      <c r="K18" s="26"/>
      <c r="L18" s="27"/>
    </row>
    <row r="19">
      <c r="A19" s="149">
        <v>0.17777777777777778</v>
      </c>
      <c r="B19" s="143"/>
      <c r="C19" s="150" t="s">
        <v>9</v>
      </c>
      <c r="D19" s="150" t="s">
        <v>262</v>
      </c>
      <c r="E19" s="151"/>
      <c r="F19" s="154"/>
      <c r="G19" s="152" t="s">
        <v>263</v>
      </c>
      <c r="H19" s="153" t="s">
        <v>264</v>
      </c>
      <c r="I19" s="26"/>
      <c r="J19" s="26"/>
      <c r="K19" s="26"/>
      <c r="L19" s="27"/>
    </row>
    <row r="20">
      <c r="A20" s="149">
        <v>0.17847222222222223</v>
      </c>
      <c r="B20" s="143"/>
      <c r="C20" s="150" t="s">
        <v>9</v>
      </c>
      <c r="D20" s="150" t="s">
        <v>265</v>
      </c>
      <c r="E20" s="151"/>
      <c r="F20" s="154"/>
      <c r="G20" s="152" t="s">
        <v>266</v>
      </c>
      <c r="H20" s="153" t="s">
        <v>267</v>
      </c>
      <c r="I20" s="26"/>
      <c r="J20" s="26"/>
      <c r="K20" s="26"/>
      <c r="L20" s="27"/>
    </row>
    <row r="21">
      <c r="A21" s="149">
        <v>0.17916666666666667</v>
      </c>
      <c r="B21" s="143"/>
      <c r="C21" s="150" t="s">
        <v>9</v>
      </c>
      <c r="D21" s="150" t="s">
        <v>268</v>
      </c>
      <c r="E21" s="151"/>
      <c r="F21" s="151"/>
      <c r="G21" s="152" t="s">
        <v>269</v>
      </c>
      <c r="H21" s="153" t="s">
        <v>270</v>
      </c>
      <c r="I21" s="26"/>
      <c r="J21" s="26"/>
      <c r="K21" s="26"/>
      <c r="L21" s="27"/>
    </row>
    <row r="22">
      <c r="A22" s="149">
        <v>0.1798611111111111</v>
      </c>
      <c r="B22" s="143"/>
      <c r="C22" s="150" t="s">
        <v>9</v>
      </c>
      <c r="D22" s="150" t="s">
        <v>271</v>
      </c>
      <c r="E22" s="151"/>
      <c r="F22" s="154"/>
      <c r="G22" s="152" t="s">
        <v>272</v>
      </c>
      <c r="H22" s="153" t="s">
        <v>273</v>
      </c>
      <c r="I22" s="26"/>
      <c r="J22" s="26"/>
      <c r="K22" s="26"/>
      <c r="L22" s="27"/>
    </row>
    <row r="23">
      <c r="A23" s="149">
        <v>0.18055555555555555</v>
      </c>
      <c r="B23" s="143"/>
      <c r="C23" s="150" t="s">
        <v>9</v>
      </c>
      <c r="D23" s="150" t="s">
        <v>274</v>
      </c>
      <c r="E23" s="151"/>
      <c r="F23" s="154"/>
      <c r="G23" s="152" t="s">
        <v>275</v>
      </c>
      <c r="H23" s="153" t="s">
        <v>276</v>
      </c>
      <c r="I23" s="26"/>
      <c r="J23" s="26"/>
      <c r="K23" s="26"/>
      <c r="L23" s="27"/>
    </row>
    <row r="24">
      <c r="A24" s="149">
        <v>0.18125</v>
      </c>
      <c r="B24" s="143"/>
      <c r="C24" s="150" t="s">
        <v>9</v>
      </c>
      <c r="D24" s="150" t="s">
        <v>277</v>
      </c>
      <c r="E24" s="151"/>
      <c r="F24" s="151"/>
      <c r="G24" s="152" t="s">
        <v>278</v>
      </c>
      <c r="H24" s="155" t="s">
        <v>279</v>
      </c>
      <c r="I24" s="26"/>
      <c r="J24" s="26"/>
      <c r="K24" s="26"/>
      <c r="L24" s="27"/>
    </row>
    <row r="25">
      <c r="A25" s="49" t="s">
        <v>83</v>
      </c>
      <c r="B25" s="26"/>
      <c r="C25" s="27"/>
    </row>
    <row r="26">
      <c r="A26" s="156">
        <v>0.18194444444444444</v>
      </c>
      <c r="B26" s="151"/>
      <c r="C26" s="157" t="s">
        <v>9</v>
      </c>
      <c r="D26" s="157" t="s">
        <v>280</v>
      </c>
      <c r="E26" s="151"/>
      <c r="F26" s="151"/>
      <c r="G26" s="151"/>
      <c r="H26" s="158" t="s">
        <v>281</v>
      </c>
      <c r="I26" s="26"/>
      <c r="J26" s="26"/>
      <c r="K26" s="26"/>
      <c r="L26" s="27"/>
    </row>
    <row r="27">
      <c r="A27" s="156">
        <v>0.18263888888888888</v>
      </c>
      <c r="B27" s="151"/>
      <c r="C27" s="157" t="s">
        <v>9</v>
      </c>
      <c r="D27" s="157" t="s">
        <v>282</v>
      </c>
      <c r="E27" s="151"/>
      <c r="F27" s="151"/>
      <c r="G27" s="151"/>
      <c r="H27" s="158" t="s">
        <v>283</v>
      </c>
      <c r="I27" s="26"/>
      <c r="J27" s="26"/>
      <c r="K27" s="26"/>
      <c r="L27" s="27"/>
    </row>
    <row r="28">
      <c r="A28" s="156">
        <v>0.18333333333333332</v>
      </c>
      <c r="B28" s="151"/>
      <c r="C28" s="157" t="s">
        <v>9</v>
      </c>
      <c r="D28" s="157" t="s">
        <v>284</v>
      </c>
      <c r="E28" s="151"/>
      <c r="F28" s="151"/>
      <c r="G28" s="151"/>
      <c r="H28" s="158" t="s">
        <v>285</v>
      </c>
      <c r="I28" s="26"/>
      <c r="J28" s="26"/>
      <c r="K28" s="26"/>
      <c r="L28" s="27"/>
    </row>
    <row r="29">
      <c r="A29" s="156">
        <v>0.1840277777777778</v>
      </c>
      <c r="B29" s="151"/>
      <c r="C29" s="157" t="s">
        <v>9</v>
      </c>
      <c r="D29" s="157" t="s">
        <v>286</v>
      </c>
      <c r="E29" s="151"/>
      <c r="F29" s="151"/>
      <c r="G29" s="151"/>
      <c r="H29" s="158" t="s">
        <v>287</v>
      </c>
      <c r="I29" s="26"/>
      <c r="J29" s="26"/>
      <c r="K29" s="26"/>
      <c r="L29" s="27"/>
    </row>
    <row r="30">
      <c r="A30" s="156">
        <v>0.18472222222222223</v>
      </c>
      <c r="B30" s="151"/>
      <c r="C30" s="157" t="s">
        <v>9</v>
      </c>
      <c r="D30" s="157" t="s">
        <v>288</v>
      </c>
      <c r="E30" s="151"/>
      <c r="F30" s="151"/>
      <c r="G30" s="151"/>
      <c r="H30" s="158" t="s">
        <v>289</v>
      </c>
      <c r="I30" s="26"/>
      <c r="J30" s="26"/>
      <c r="K30" s="26"/>
      <c r="L30" s="27"/>
    </row>
    <row r="31">
      <c r="A31" s="156">
        <v>0.18541666666666667</v>
      </c>
      <c r="B31" s="151"/>
      <c r="C31" s="157" t="s">
        <v>9</v>
      </c>
      <c r="D31" s="157" t="s">
        <v>290</v>
      </c>
      <c r="E31" s="151"/>
      <c r="F31" s="151"/>
      <c r="G31" s="151"/>
      <c r="H31" s="158" t="s">
        <v>291</v>
      </c>
      <c r="I31" s="26"/>
      <c r="J31" s="26"/>
      <c r="K31" s="26"/>
      <c r="L31" s="27"/>
    </row>
    <row r="32">
      <c r="A32" s="156">
        <v>0.18611111111111112</v>
      </c>
      <c r="B32" s="151"/>
      <c r="C32" s="157" t="s">
        <v>9</v>
      </c>
      <c r="D32" s="157" t="s">
        <v>292</v>
      </c>
      <c r="E32" s="151"/>
      <c r="F32" s="151"/>
      <c r="G32" s="151"/>
      <c r="H32" s="158" t="s">
        <v>293</v>
      </c>
      <c r="I32" s="26"/>
      <c r="J32" s="26"/>
      <c r="K32" s="26"/>
      <c r="L32" s="27"/>
    </row>
    <row r="33">
      <c r="A33" s="156">
        <v>0.18680555555555556</v>
      </c>
      <c r="B33" s="151"/>
      <c r="C33" s="157" t="s">
        <v>9</v>
      </c>
      <c r="D33" s="157" t="s">
        <v>294</v>
      </c>
      <c r="E33" s="151"/>
      <c r="F33" s="151"/>
      <c r="G33" s="151"/>
      <c r="H33" s="158" t="s">
        <v>295</v>
      </c>
      <c r="I33" s="26"/>
      <c r="J33" s="26"/>
      <c r="K33" s="26"/>
      <c r="L33" s="27"/>
    </row>
    <row r="34">
      <c r="A34" s="156">
        <v>0.1875</v>
      </c>
      <c r="B34" s="151"/>
      <c r="C34" s="157" t="s">
        <v>9</v>
      </c>
      <c r="D34" s="157" t="s">
        <v>296</v>
      </c>
      <c r="E34" s="151"/>
      <c r="F34" s="151"/>
      <c r="G34" s="151"/>
      <c r="H34" s="158" t="s">
        <v>297</v>
      </c>
      <c r="I34" s="26"/>
      <c r="J34" s="26"/>
      <c r="K34" s="26"/>
      <c r="L34" s="27"/>
    </row>
    <row r="35">
      <c r="A35" s="156">
        <v>0.18819444444444444</v>
      </c>
      <c r="B35" s="151"/>
      <c r="C35" s="157" t="s">
        <v>9</v>
      </c>
      <c r="D35" s="157" t="s">
        <v>298</v>
      </c>
      <c r="E35" s="151"/>
      <c r="F35" s="151"/>
      <c r="G35" s="151"/>
      <c r="H35" s="158" t="s">
        <v>299</v>
      </c>
      <c r="I35" s="26"/>
      <c r="J35" s="26"/>
      <c r="K35" s="26"/>
      <c r="L35" s="27"/>
    </row>
    <row r="36">
      <c r="A36" s="156">
        <v>0.18888888888888888</v>
      </c>
      <c r="B36" s="151"/>
      <c r="C36" s="157" t="s">
        <v>9</v>
      </c>
      <c r="D36" s="157" t="s">
        <v>300</v>
      </c>
      <c r="E36" s="151"/>
      <c r="F36" s="151"/>
      <c r="G36" s="151"/>
      <c r="H36" s="158" t="s">
        <v>301</v>
      </c>
      <c r="I36" s="26"/>
      <c r="J36" s="26"/>
      <c r="K36" s="26"/>
      <c r="L36" s="27"/>
    </row>
    <row r="37">
      <c r="A37" s="156">
        <v>0.18958333333333333</v>
      </c>
      <c r="B37" s="151"/>
      <c r="C37" s="157" t="s">
        <v>9</v>
      </c>
      <c r="D37" s="157" t="s">
        <v>302</v>
      </c>
      <c r="E37" s="151"/>
      <c r="F37" s="151"/>
      <c r="G37" s="151"/>
      <c r="H37" s="158" t="s">
        <v>303</v>
      </c>
      <c r="I37" s="26"/>
      <c r="J37" s="26"/>
      <c r="K37" s="26"/>
      <c r="L37" s="27"/>
    </row>
    <row r="38">
      <c r="A38" s="156">
        <v>0.19027777777777777</v>
      </c>
      <c r="B38" s="151"/>
      <c r="C38" s="157" t="s">
        <v>9</v>
      </c>
      <c r="D38" s="157" t="s">
        <v>304</v>
      </c>
      <c r="E38" s="151"/>
      <c r="F38" s="151"/>
      <c r="G38" s="151"/>
      <c r="H38" s="158" t="s">
        <v>305</v>
      </c>
      <c r="I38" s="26"/>
      <c r="J38" s="26"/>
      <c r="K38" s="26"/>
      <c r="L38" s="27"/>
    </row>
    <row r="39">
      <c r="A39" s="156">
        <v>0.1909722222222222</v>
      </c>
      <c r="B39" s="151"/>
      <c r="C39" s="157" t="s">
        <v>9</v>
      </c>
      <c r="D39" s="157" t="s">
        <v>306</v>
      </c>
      <c r="E39" s="151"/>
      <c r="F39" s="151"/>
      <c r="G39" s="151"/>
      <c r="H39" s="158" t="s">
        <v>307</v>
      </c>
      <c r="I39" s="26"/>
      <c r="J39" s="26"/>
      <c r="K39" s="26"/>
      <c r="L39" s="27"/>
    </row>
    <row r="40">
      <c r="A40" s="156">
        <v>0.19166666666666668</v>
      </c>
      <c r="B40" s="151"/>
      <c r="C40" s="157" t="s">
        <v>9</v>
      </c>
      <c r="D40" s="157" t="s">
        <v>308</v>
      </c>
      <c r="E40" s="151"/>
      <c r="F40" s="151"/>
      <c r="G40" s="151"/>
      <c r="H40" s="158" t="s">
        <v>309</v>
      </c>
      <c r="I40" s="26"/>
      <c r="J40" s="26"/>
      <c r="K40" s="26"/>
      <c r="L40" s="27"/>
    </row>
    <row r="41">
      <c r="A41" s="156">
        <v>0.19236111111111112</v>
      </c>
      <c r="B41" s="151"/>
      <c r="C41" s="157" t="s">
        <v>9</v>
      </c>
      <c r="D41" s="157" t="s">
        <v>310</v>
      </c>
      <c r="E41" s="151"/>
      <c r="F41" s="151"/>
      <c r="G41" s="151"/>
      <c r="H41" s="158" t="s">
        <v>311</v>
      </c>
      <c r="I41" s="26"/>
      <c r="J41" s="26"/>
      <c r="K41" s="26"/>
      <c r="L41" s="27"/>
    </row>
    <row r="42">
      <c r="A42" s="156">
        <v>0.19305555555555556</v>
      </c>
      <c r="B42" s="151"/>
      <c r="C42" s="157" t="s">
        <v>9</v>
      </c>
      <c r="D42" s="157" t="s">
        <v>312</v>
      </c>
      <c r="E42" s="151"/>
      <c r="F42" s="151"/>
      <c r="G42" s="151"/>
      <c r="H42" s="158" t="s">
        <v>313</v>
      </c>
      <c r="I42" s="26"/>
      <c r="J42" s="26"/>
      <c r="K42" s="26"/>
      <c r="L42" s="27"/>
    </row>
    <row r="43">
      <c r="A43" s="156">
        <v>0.19375</v>
      </c>
      <c r="B43" s="151"/>
      <c r="C43" s="157" t="s">
        <v>9</v>
      </c>
      <c r="D43" s="157" t="s">
        <v>314</v>
      </c>
      <c r="E43" s="151"/>
      <c r="F43" s="151"/>
      <c r="G43" s="151"/>
      <c r="H43" s="158" t="s">
        <v>315</v>
      </c>
      <c r="I43" s="26"/>
      <c r="J43" s="26"/>
      <c r="K43" s="26"/>
      <c r="L43" s="27"/>
    </row>
    <row r="44">
      <c r="A44" s="156">
        <v>0.19444444444444445</v>
      </c>
      <c r="B44" s="151"/>
      <c r="C44" s="157" t="s">
        <v>9</v>
      </c>
      <c r="D44" s="157" t="s">
        <v>316</v>
      </c>
      <c r="E44" s="151"/>
      <c r="F44" s="151"/>
      <c r="G44" s="151"/>
      <c r="H44" s="158" t="s">
        <v>317</v>
      </c>
      <c r="I44" s="26"/>
      <c r="J44" s="26"/>
      <c r="K44" s="26"/>
      <c r="L44" s="27"/>
    </row>
    <row r="45">
      <c r="A45" s="156">
        <v>0.1951388888888889</v>
      </c>
      <c r="B45" s="151"/>
      <c r="C45" s="157" t="s">
        <v>9</v>
      </c>
      <c r="D45" s="157" t="s">
        <v>318</v>
      </c>
      <c r="E45" s="151"/>
      <c r="F45" s="151"/>
      <c r="G45" s="151"/>
      <c r="H45" s="158" t="s">
        <v>319</v>
      </c>
      <c r="I45" s="26"/>
      <c r="J45" s="26"/>
      <c r="K45" s="26"/>
      <c r="L45" s="27"/>
    </row>
    <row r="46">
      <c r="A46" s="156">
        <v>0.19583333333333333</v>
      </c>
      <c r="B46" s="151"/>
      <c r="C46" s="157" t="s">
        <v>9</v>
      </c>
      <c r="D46" s="157" t="s">
        <v>320</v>
      </c>
      <c r="E46" s="151"/>
      <c r="F46" s="151"/>
      <c r="G46" s="151"/>
      <c r="H46" s="158" t="s">
        <v>321</v>
      </c>
      <c r="I46" s="26"/>
      <c r="J46" s="26"/>
      <c r="K46" s="26"/>
      <c r="L46" s="27"/>
    </row>
    <row r="47">
      <c r="A47" s="156">
        <v>0.19652777777777777</v>
      </c>
      <c r="B47" s="151"/>
      <c r="C47" s="157" t="s">
        <v>9</v>
      </c>
      <c r="D47" s="157" t="s">
        <v>322</v>
      </c>
      <c r="E47" s="151"/>
      <c r="F47" s="151"/>
      <c r="G47" s="151"/>
      <c r="H47" s="158" t="s">
        <v>323</v>
      </c>
      <c r="I47" s="26"/>
      <c r="J47" s="26"/>
      <c r="K47" s="26"/>
      <c r="L47" s="27"/>
    </row>
    <row r="48">
      <c r="A48" s="156">
        <v>0.19722222222222222</v>
      </c>
      <c r="B48" s="151"/>
      <c r="C48" s="157" t="s">
        <v>9</v>
      </c>
      <c r="D48" s="157" t="s">
        <v>324</v>
      </c>
      <c r="E48" s="151"/>
      <c r="F48" s="151"/>
      <c r="G48" s="151"/>
      <c r="H48" s="158" t="s">
        <v>325</v>
      </c>
      <c r="I48" s="26"/>
      <c r="J48" s="26"/>
      <c r="K48" s="26"/>
      <c r="L48" s="27"/>
    </row>
    <row r="49">
      <c r="A49" s="156">
        <v>0.19791666666666666</v>
      </c>
      <c r="B49" s="151"/>
      <c r="C49" s="157" t="s">
        <v>9</v>
      </c>
      <c r="D49" s="157" t="s">
        <v>326</v>
      </c>
      <c r="E49" s="151"/>
      <c r="F49" s="151"/>
      <c r="G49" s="151"/>
      <c r="H49" s="158" t="s">
        <v>327</v>
      </c>
      <c r="I49" s="26"/>
      <c r="J49" s="26"/>
      <c r="K49" s="26"/>
      <c r="L49" s="27"/>
    </row>
    <row r="50">
      <c r="A50" s="159">
        <v>0.1986111111111111</v>
      </c>
      <c r="B50" s="151"/>
      <c r="C50" s="157" t="s">
        <v>9</v>
      </c>
      <c r="D50" s="157" t="s">
        <v>328</v>
      </c>
      <c r="E50" s="151"/>
      <c r="F50" s="151"/>
      <c r="G50" s="151"/>
      <c r="H50" s="158" t="s">
        <v>329</v>
      </c>
      <c r="I50" s="26"/>
      <c r="J50" s="26"/>
      <c r="K50" s="26"/>
      <c r="L50" s="27"/>
    </row>
    <row r="51">
      <c r="A51" s="159">
        <v>0.19930555555555557</v>
      </c>
      <c r="B51" s="151"/>
      <c r="C51" s="157" t="s">
        <v>9</v>
      </c>
      <c r="D51" s="157" t="s">
        <v>330</v>
      </c>
      <c r="E51" s="151"/>
      <c r="F51" s="151"/>
      <c r="G51" s="151"/>
      <c r="H51" s="158" t="s">
        <v>331</v>
      </c>
      <c r="I51" s="26"/>
      <c r="J51" s="26"/>
      <c r="K51" s="26"/>
      <c r="L51" s="27"/>
    </row>
    <row r="52">
      <c r="A52" s="159">
        <v>0.2</v>
      </c>
      <c r="B52" s="151"/>
      <c r="C52" s="157" t="s">
        <v>9</v>
      </c>
      <c r="D52" s="157" t="s">
        <v>332</v>
      </c>
      <c r="E52" s="151"/>
      <c r="F52" s="151"/>
      <c r="G52" s="151"/>
      <c r="H52" s="158" t="s">
        <v>333</v>
      </c>
      <c r="I52" s="26"/>
      <c r="J52" s="26"/>
      <c r="K52" s="26"/>
      <c r="L52" s="27"/>
    </row>
    <row r="53">
      <c r="A53" s="159">
        <v>0.20069444444444445</v>
      </c>
      <c r="B53" s="151"/>
      <c r="C53" s="157" t="s">
        <v>9</v>
      </c>
      <c r="D53" s="157" t="s">
        <v>334</v>
      </c>
      <c r="E53" s="151"/>
      <c r="F53" s="151"/>
      <c r="G53" s="151"/>
      <c r="H53" s="158" t="s">
        <v>335</v>
      </c>
      <c r="I53" s="26"/>
      <c r="J53" s="26"/>
      <c r="K53" s="26"/>
      <c r="L53" s="27"/>
    </row>
    <row r="54">
      <c r="A54" s="159">
        <v>0.2013888888888889</v>
      </c>
      <c r="B54" s="151"/>
      <c r="C54" s="157" t="s">
        <v>9</v>
      </c>
      <c r="D54" s="157" t="s">
        <v>336</v>
      </c>
      <c r="E54" s="151"/>
      <c r="F54" s="151"/>
      <c r="G54" s="151"/>
      <c r="H54" s="158" t="s">
        <v>337</v>
      </c>
      <c r="I54" s="26"/>
      <c r="J54" s="26"/>
      <c r="K54" s="26"/>
      <c r="L54" s="27"/>
    </row>
    <row r="55">
      <c r="A55" s="159">
        <v>0.20208333333333334</v>
      </c>
      <c r="B55" s="151"/>
      <c r="C55" s="157" t="s">
        <v>9</v>
      </c>
      <c r="D55" s="157" t="s">
        <v>338</v>
      </c>
      <c r="E55" s="151"/>
      <c r="F55" s="151"/>
      <c r="G55" s="151"/>
      <c r="H55" s="158" t="s">
        <v>339</v>
      </c>
      <c r="I55" s="26"/>
      <c r="J55" s="26"/>
      <c r="K55" s="26"/>
      <c r="L55" s="27"/>
    </row>
    <row r="56">
      <c r="A56" s="159">
        <v>0.20277777777777778</v>
      </c>
      <c r="B56" s="151"/>
      <c r="C56" s="157" t="s">
        <v>9</v>
      </c>
      <c r="D56" s="157" t="s">
        <v>340</v>
      </c>
      <c r="E56" s="151"/>
      <c r="F56" s="151"/>
      <c r="G56" s="151"/>
      <c r="H56" s="158" t="s">
        <v>341</v>
      </c>
      <c r="I56" s="26"/>
      <c r="J56" s="26"/>
      <c r="K56" s="26"/>
      <c r="L56" s="27"/>
    </row>
    <row r="57">
      <c r="A57" s="159">
        <v>0.20347222222222222</v>
      </c>
      <c r="B57" s="151"/>
      <c r="C57" s="157" t="s">
        <v>9</v>
      </c>
      <c r="D57" s="157" t="s">
        <v>342</v>
      </c>
      <c r="E57" s="151"/>
      <c r="F57" s="151"/>
      <c r="G57" s="151"/>
      <c r="H57" s="158" t="s">
        <v>343</v>
      </c>
      <c r="I57" s="26"/>
      <c r="J57" s="26"/>
      <c r="K57" s="26"/>
      <c r="L57" s="27"/>
    </row>
    <row r="58">
      <c r="A58" s="159">
        <v>0.20416666666666666</v>
      </c>
      <c r="B58" s="151"/>
      <c r="C58" s="157" t="s">
        <v>9</v>
      </c>
      <c r="D58" s="157" t="s">
        <v>344</v>
      </c>
      <c r="E58" s="151"/>
      <c r="F58" s="151"/>
      <c r="G58" s="151"/>
      <c r="H58" s="158" t="s">
        <v>345</v>
      </c>
      <c r="I58" s="26"/>
      <c r="J58" s="26"/>
      <c r="K58" s="26"/>
      <c r="L58" s="27"/>
    </row>
    <row r="59">
      <c r="A59" s="159">
        <v>0.2048611111111111</v>
      </c>
      <c r="B59" s="151"/>
      <c r="C59" s="157" t="s">
        <v>9</v>
      </c>
      <c r="D59" s="157" t="s">
        <v>346</v>
      </c>
      <c r="E59" s="151"/>
      <c r="F59" s="151"/>
      <c r="G59" s="151"/>
      <c r="H59" s="158" t="s">
        <v>347</v>
      </c>
      <c r="I59" s="26"/>
      <c r="J59" s="26"/>
      <c r="K59" s="26"/>
      <c r="L59" s="27"/>
    </row>
    <row r="60">
      <c r="A60" s="159">
        <v>0.20555555555555555</v>
      </c>
      <c r="B60" s="151"/>
      <c r="C60" s="157" t="s">
        <v>9</v>
      </c>
      <c r="D60" s="157" t="s">
        <v>348</v>
      </c>
      <c r="E60" s="151"/>
      <c r="F60" s="151"/>
      <c r="G60" s="151"/>
      <c r="H60" s="158" t="s">
        <v>349</v>
      </c>
      <c r="I60" s="26"/>
      <c r="J60" s="26"/>
      <c r="K60" s="26"/>
      <c r="L60" s="27"/>
    </row>
    <row r="61">
      <c r="A61" s="159">
        <v>0.20625</v>
      </c>
      <c r="B61" s="151"/>
      <c r="C61" s="157" t="s">
        <v>9</v>
      </c>
      <c r="D61" s="157" t="s">
        <v>350</v>
      </c>
      <c r="E61" s="151"/>
      <c r="F61" s="151"/>
      <c r="G61" s="151"/>
      <c r="H61" s="158" t="s">
        <v>351</v>
      </c>
      <c r="I61" s="26"/>
      <c r="J61" s="26"/>
      <c r="K61" s="26"/>
      <c r="L61" s="27"/>
    </row>
    <row r="62">
      <c r="A62" s="159">
        <v>0.20694444444444443</v>
      </c>
      <c r="B62" s="151"/>
      <c r="C62" s="157" t="s">
        <v>9</v>
      </c>
      <c r="D62" s="157" t="s">
        <v>352</v>
      </c>
      <c r="E62" s="151"/>
      <c r="F62" s="151"/>
      <c r="G62" s="151"/>
      <c r="H62" s="158" t="s">
        <v>353</v>
      </c>
      <c r="I62" s="26"/>
      <c r="J62" s="26"/>
      <c r="K62" s="26"/>
      <c r="L62" s="27"/>
    </row>
    <row r="63">
      <c r="A63" s="159">
        <v>0.2076388888888889</v>
      </c>
      <c r="B63" s="151"/>
      <c r="C63" s="157" t="s">
        <v>9</v>
      </c>
      <c r="D63" s="157" t="s">
        <v>354</v>
      </c>
      <c r="E63" s="151"/>
      <c r="F63" s="151"/>
      <c r="G63" s="151"/>
      <c r="H63" s="158" t="s">
        <v>355</v>
      </c>
      <c r="I63" s="26"/>
      <c r="J63" s="26"/>
      <c r="K63" s="26"/>
      <c r="L63" s="27"/>
    </row>
    <row r="64">
      <c r="A64" s="160" t="s">
        <v>356</v>
      </c>
      <c r="B64" s="151"/>
      <c r="C64" s="157" t="s">
        <v>9</v>
      </c>
      <c r="D64" s="157" t="s">
        <v>357</v>
      </c>
      <c r="E64" s="151"/>
      <c r="F64" s="151"/>
      <c r="G64" s="151"/>
      <c r="H64" s="158" t="s">
        <v>358</v>
      </c>
      <c r="I64" s="26"/>
      <c r="J64" s="26"/>
      <c r="K64" s="26"/>
      <c r="L64" s="27"/>
    </row>
    <row r="65">
      <c r="A65" s="160" t="s">
        <v>359</v>
      </c>
      <c r="B65" s="151"/>
      <c r="C65" s="157" t="s">
        <v>9</v>
      </c>
      <c r="D65" s="157" t="s">
        <v>360</v>
      </c>
      <c r="E65" s="161" t="s">
        <v>361</v>
      </c>
      <c r="F65" s="151"/>
      <c r="G65" s="151"/>
      <c r="H65" s="158" t="s">
        <v>362</v>
      </c>
      <c r="I65" s="26"/>
      <c r="J65" s="26"/>
      <c r="K65" s="26"/>
      <c r="L65" s="27"/>
    </row>
  </sheetData>
  <mergeCells count="67">
    <mergeCell ref="H48:L48"/>
    <mergeCell ref="H49:L49"/>
    <mergeCell ref="H50:L50"/>
    <mergeCell ref="H51:L51"/>
    <mergeCell ref="H52:L52"/>
    <mergeCell ref="H53:L53"/>
    <mergeCell ref="H54:L54"/>
    <mergeCell ref="H62:L62"/>
    <mergeCell ref="H63:L63"/>
    <mergeCell ref="H64:L64"/>
    <mergeCell ref="H65:L65"/>
    <mergeCell ref="H55:L55"/>
    <mergeCell ref="H56:L56"/>
    <mergeCell ref="H57:L57"/>
    <mergeCell ref="H58:L58"/>
    <mergeCell ref="H59:L59"/>
    <mergeCell ref="H60:L60"/>
    <mergeCell ref="H61:L61"/>
    <mergeCell ref="H1:L1"/>
    <mergeCell ref="N1:U1"/>
    <mergeCell ref="H2:L2"/>
    <mergeCell ref="N2:U2"/>
    <mergeCell ref="H3:L3"/>
    <mergeCell ref="H4:L4"/>
    <mergeCell ref="H5:L5"/>
    <mergeCell ref="H6:L6"/>
    <mergeCell ref="H7:L7"/>
    <mergeCell ref="H8:L8"/>
    <mergeCell ref="H9:L9"/>
    <mergeCell ref="H10:L10"/>
    <mergeCell ref="H11:L11"/>
    <mergeCell ref="A13:B13"/>
    <mergeCell ref="H12:L12"/>
    <mergeCell ref="H14:L14"/>
    <mergeCell ref="H15:L15"/>
    <mergeCell ref="H16:L16"/>
    <mergeCell ref="A17:B17"/>
    <mergeCell ref="H18:L18"/>
    <mergeCell ref="H19:L19"/>
    <mergeCell ref="H20:L20"/>
    <mergeCell ref="H21:L21"/>
    <mergeCell ref="H22:L22"/>
    <mergeCell ref="H23:L23"/>
    <mergeCell ref="H24:L24"/>
    <mergeCell ref="A25:C25"/>
    <mergeCell ref="H26:L26"/>
    <mergeCell ref="H27:L27"/>
    <mergeCell ref="H28:L28"/>
    <mergeCell ref="H29:L29"/>
    <mergeCell ref="H30:L30"/>
    <mergeCell ref="H31:L31"/>
    <mergeCell ref="H32:L32"/>
    <mergeCell ref="H33:L33"/>
    <mergeCell ref="H34:L34"/>
    <mergeCell ref="H35:L35"/>
    <mergeCell ref="H36:L36"/>
    <mergeCell ref="H37:L37"/>
    <mergeCell ref="H38:L38"/>
    <mergeCell ref="H39:L39"/>
    <mergeCell ref="H40:L40"/>
    <mergeCell ref="H41:L41"/>
    <mergeCell ref="H42:L42"/>
    <mergeCell ref="H43:L43"/>
    <mergeCell ref="H44:L44"/>
    <mergeCell ref="H45:L45"/>
    <mergeCell ref="H46:L46"/>
    <mergeCell ref="H47:L47"/>
  </mergeCells>
  <hyperlinks>
    <hyperlink r:id="rId1" ref="N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75"/>
    <col customWidth="1" min="5" max="5" width="14.5"/>
    <col customWidth="1" min="6" max="6" width="18.5"/>
    <col customWidth="1" min="7" max="7" width="27.63"/>
  </cols>
  <sheetData>
    <row r="1">
      <c r="A1" s="24" t="s">
        <v>19</v>
      </c>
      <c r="B1" s="24" t="s">
        <v>20</v>
      </c>
      <c r="C1" s="24" t="s">
        <v>1</v>
      </c>
      <c r="D1" s="24" t="s">
        <v>21</v>
      </c>
      <c r="E1" s="24" t="s">
        <v>22</v>
      </c>
      <c r="F1" s="24" t="s">
        <v>23</v>
      </c>
      <c r="G1" s="24" t="s">
        <v>24</v>
      </c>
      <c r="H1" s="25" t="s">
        <v>25</v>
      </c>
      <c r="I1" s="26"/>
      <c r="J1" s="26"/>
      <c r="K1" s="26"/>
      <c r="L1" s="27"/>
      <c r="N1" s="25" t="s">
        <v>26</v>
      </c>
      <c r="O1" s="26"/>
      <c r="P1" s="26"/>
      <c r="Q1" s="26"/>
      <c r="R1" s="26"/>
      <c r="S1" s="26"/>
      <c r="T1" s="26"/>
      <c r="U1" s="27"/>
    </row>
    <row r="2">
      <c r="A2" s="162" t="s">
        <v>363</v>
      </c>
      <c r="B2" s="163"/>
      <c r="C2" s="164" t="s">
        <v>10</v>
      </c>
      <c r="D2" s="164" t="s">
        <v>364</v>
      </c>
      <c r="E2" s="164" t="s">
        <v>365</v>
      </c>
      <c r="F2" s="164" t="s">
        <v>94</v>
      </c>
      <c r="G2" s="164" t="s">
        <v>366</v>
      </c>
      <c r="H2" s="165" t="s">
        <v>367</v>
      </c>
      <c r="I2" s="26"/>
      <c r="J2" s="26"/>
      <c r="K2" s="26"/>
      <c r="L2" s="27"/>
      <c r="N2" s="166"/>
    </row>
    <row r="3">
      <c r="A3" s="162" t="s">
        <v>368</v>
      </c>
      <c r="B3" s="164" t="s">
        <v>369</v>
      </c>
      <c r="C3" s="164" t="s">
        <v>10</v>
      </c>
      <c r="D3" s="164" t="s">
        <v>370</v>
      </c>
      <c r="E3" s="164" t="s">
        <v>371</v>
      </c>
      <c r="F3" s="164" t="s">
        <v>94</v>
      </c>
      <c r="G3" s="164" t="s">
        <v>372</v>
      </c>
      <c r="H3" s="167" t="s">
        <v>373</v>
      </c>
      <c r="I3" s="26"/>
      <c r="J3" s="26"/>
      <c r="K3" s="26"/>
      <c r="L3" s="27"/>
    </row>
    <row r="4">
      <c r="A4" s="162" t="s">
        <v>374</v>
      </c>
      <c r="B4" s="164" t="s">
        <v>91</v>
      </c>
      <c r="C4" s="164" t="s">
        <v>10</v>
      </c>
      <c r="D4" s="164" t="s">
        <v>375</v>
      </c>
      <c r="E4" s="163"/>
      <c r="F4" s="164" t="s">
        <v>94</v>
      </c>
      <c r="G4" s="164" t="s">
        <v>376</v>
      </c>
      <c r="H4" s="165" t="s">
        <v>377</v>
      </c>
      <c r="I4" s="26"/>
      <c r="J4" s="26"/>
      <c r="K4" s="26"/>
      <c r="L4" s="27"/>
    </row>
    <row r="5">
      <c r="A5" s="162" t="s">
        <v>378</v>
      </c>
      <c r="B5" s="164" t="s">
        <v>91</v>
      </c>
      <c r="C5" s="164" t="s">
        <v>10</v>
      </c>
      <c r="D5" s="164" t="s">
        <v>379</v>
      </c>
      <c r="E5" s="163"/>
      <c r="F5" s="163"/>
      <c r="G5" s="164" t="s">
        <v>380</v>
      </c>
      <c r="H5" s="165" t="s">
        <v>381</v>
      </c>
      <c r="I5" s="26"/>
      <c r="J5" s="26"/>
      <c r="K5" s="26"/>
      <c r="L5" s="27"/>
    </row>
    <row r="6">
      <c r="A6" s="168" t="s">
        <v>382</v>
      </c>
      <c r="B6" s="169" t="s">
        <v>369</v>
      </c>
      <c r="C6" s="164" t="s">
        <v>10</v>
      </c>
      <c r="D6" s="170"/>
      <c r="E6" s="171" t="s">
        <v>383</v>
      </c>
      <c r="F6" s="172" t="s">
        <v>199</v>
      </c>
      <c r="G6" s="170"/>
      <c r="H6" s="173" t="s">
        <v>384</v>
      </c>
    </row>
    <row r="7">
      <c r="A7" s="105" t="s">
        <v>37</v>
      </c>
      <c r="B7" s="27"/>
    </row>
    <row r="8">
      <c r="A8" s="162" t="s">
        <v>385</v>
      </c>
      <c r="B8" s="163"/>
      <c r="C8" s="164" t="s">
        <v>10</v>
      </c>
      <c r="D8" s="164" t="s">
        <v>386</v>
      </c>
      <c r="E8" s="163"/>
      <c r="F8" s="163"/>
      <c r="G8" s="164" t="s">
        <v>387</v>
      </c>
      <c r="H8" s="167" t="s">
        <v>388</v>
      </c>
      <c r="I8" s="26"/>
      <c r="J8" s="26"/>
      <c r="K8" s="26"/>
      <c r="L8" s="27"/>
    </row>
    <row r="9">
      <c r="A9" s="162" t="s">
        <v>389</v>
      </c>
      <c r="B9" s="163"/>
      <c r="C9" s="164" t="s">
        <v>10</v>
      </c>
      <c r="D9" s="164" t="s">
        <v>390</v>
      </c>
      <c r="E9" s="163"/>
      <c r="F9" s="164" t="s">
        <v>44</v>
      </c>
      <c r="G9" s="164" t="s">
        <v>391</v>
      </c>
      <c r="H9" s="167" t="s">
        <v>392</v>
      </c>
      <c r="I9" s="26"/>
      <c r="J9" s="26"/>
      <c r="K9" s="26"/>
      <c r="L9" s="27"/>
    </row>
    <row r="10">
      <c r="A10" s="162" t="s">
        <v>393</v>
      </c>
      <c r="B10" s="163"/>
      <c r="C10" s="164" t="s">
        <v>10</v>
      </c>
      <c r="D10" s="164" t="s">
        <v>394</v>
      </c>
      <c r="E10" s="163"/>
      <c r="F10" s="164" t="s">
        <v>44</v>
      </c>
      <c r="G10" s="164" t="s">
        <v>395</v>
      </c>
      <c r="H10" s="167" t="s">
        <v>396</v>
      </c>
      <c r="I10" s="26"/>
      <c r="J10" s="26"/>
      <c r="K10" s="26"/>
      <c r="L10" s="27"/>
    </row>
    <row r="11">
      <c r="A11" s="162" t="s">
        <v>397</v>
      </c>
      <c r="B11" s="163"/>
      <c r="C11" s="164" t="s">
        <v>10</v>
      </c>
      <c r="D11" s="164" t="s">
        <v>398</v>
      </c>
      <c r="E11" s="163"/>
      <c r="F11" s="164" t="s">
        <v>44</v>
      </c>
      <c r="G11" s="164" t="s">
        <v>399</v>
      </c>
      <c r="H11" s="167" t="s">
        <v>400</v>
      </c>
      <c r="I11" s="26"/>
      <c r="J11" s="26"/>
      <c r="K11" s="26"/>
      <c r="L11" s="27"/>
    </row>
    <row r="12">
      <c r="A12" s="49" t="s">
        <v>47</v>
      </c>
      <c r="B12" s="27"/>
    </row>
    <row r="13">
      <c r="A13" s="174">
        <v>0.2152777777777778</v>
      </c>
      <c r="B13" s="163"/>
      <c r="C13" s="164" t="s">
        <v>10</v>
      </c>
      <c r="D13" s="164" t="s">
        <v>401</v>
      </c>
      <c r="E13" s="163"/>
      <c r="F13" s="164"/>
      <c r="G13" s="164" t="s">
        <v>402</v>
      </c>
      <c r="H13" s="167" t="s">
        <v>403</v>
      </c>
      <c r="I13" s="26"/>
      <c r="J13" s="26"/>
      <c r="K13" s="26"/>
      <c r="L13" s="27"/>
    </row>
    <row r="14">
      <c r="A14" s="175">
        <v>0.21597222222222223</v>
      </c>
      <c r="B14" s="176"/>
      <c r="C14" s="177" t="s">
        <v>10</v>
      </c>
      <c r="D14" s="177" t="s">
        <v>404</v>
      </c>
      <c r="E14" s="176"/>
      <c r="F14" s="178"/>
      <c r="G14" s="179" t="s">
        <v>405</v>
      </c>
      <c r="H14" s="180" t="s">
        <v>406</v>
      </c>
      <c r="I14" s="26"/>
      <c r="J14" s="26"/>
      <c r="K14" s="26"/>
      <c r="L14" s="27"/>
    </row>
    <row r="15">
      <c r="A15" s="175">
        <v>0.21666666666666667</v>
      </c>
      <c r="B15" s="181" t="s">
        <v>156</v>
      </c>
      <c r="C15" s="177" t="s">
        <v>10</v>
      </c>
      <c r="D15" s="177" t="s">
        <v>407</v>
      </c>
      <c r="E15" s="181" t="s">
        <v>361</v>
      </c>
      <c r="F15" s="178"/>
      <c r="G15" s="182" t="s">
        <v>408</v>
      </c>
      <c r="H15" s="180" t="s">
        <v>409</v>
      </c>
      <c r="I15" s="26"/>
      <c r="J15" s="26"/>
      <c r="K15" s="26"/>
      <c r="L15" s="27"/>
    </row>
    <row r="16">
      <c r="A16" s="175">
        <v>0.21736111111111112</v>
      </c>
      <c r="B16" s="176"/>
      <c r="C16" s="177" t="s">
        <v>10</v>
      </c>
      <c r="D16" s="177" t="s">
        <v>410</v>
      </c>
      <c r="E16" s="176"/>
      <c r="F16" s="178"/>
      <c r="G16" s="179" t="s">
        <v>411</v>
      </c>
      <c r="H16" s="180" t="s">
        <v>412</v>
      </c>
      <c r="I16" s="26"/>
      <c r="J16" s="26"/>
      <c r="K16" s="26"/>
      <c r="L16" s="27"/>
    </row>
    <row r="17">
      <c r="A17" s="175">
        <v>0.21805555555555556</v>
      </c>
      <c r="B17" s="183"/>
      <c r="C17" s="184" t="s">
        <v>10</v>
      </c>
      <c r="D17" s="184" t="s">
        <v>413</v>
      </c>
      <c r="E17" s="183"/>
      <c r="F17" s="185"/>
      <c r="G17" s="186" t="s">
        <v>414</v>
      </c>
      <c r="H17" s="187" t="s">
        <v>415</v>
      </c>
      <c r="I17" s="31"/>
      <c r="J17" s="31"/>
      <c r="K17" s="31"/>
      <c r="L17" s="32"/>
    </row>
    <row r="18">
      <c r="A18" s="49" t="s">
        <v>83</v>
      </c>
      <c r="B18" s="26"/>
      <c r="C18" s="27"/>
      <c r="D18" s="69"/>
      <c r="E18" s="68"/>
      <c r="F18" s="69"/>
      <c r="G18" s="69"/>
      <c r="H18" s="97"/>
    </row>
    <row r="19">
      <c r="A19" s="188">
        <v>0.21875</v>
      </c>
      <c r="B19" s="176"/>
      <c r="C19" s="177" t="s">
        <v>10</v>
      </c>
      <c r="D19" s="177" t="s">
        <v>416</v>
      </c>
      <c r="E19" s="176"/>
      <c r="F19" s="178"/>
      <c r="G19" s="178"/>
      <c r="H19" s="180" t="s">
        <v>417</v>
      </c>
      <c r="I19" s="26"/>
      <c r="J19" s="26"/>
      <c r="K19" s="26"/>
      <c r="L19" s="27"/>
    </row>
    <row r="20">
      <c r="A20" s="188">
        <v>0.21944444444444444</v>
      </c>
      <c r="B20" s="176"/>
      <c r="C20" s="177" t="s">
        <v>10</v>
      </c>
      <c r="D20" s="177" t="s">
        <v>418</v>
      </c>
      <c r="E20" s="176"/>
      <c r="F20" s="178"/>
      <c r="G20" s="178"/>
      <c r="H20" s="180" t="s">
        <v>419</v>
      </c>
      <c r="I20" s="26"/>
      <c r="J20" s="26"/>
      <c r="K20" s="26"/>
      <c r="L20" s="27"/>
    </row>
    <row r="21">
      <c r="A21" s="188">
        <v>0.22013888888888888</v>
      </c>
      <c r="B21" s="176"/>
      <c r="C21" s="177" t="s">
        <v>10</v>
      </c>
      <c r="D21" s="177" t="s">
        <v>420</v>
      </c>
      <c r="E21" s="176"/>
      <c r="F21" s="178"/>
      <c r="G21" s="178"/>
      <c r="H21" s="180" t="s">
        <v>421</v>
      </c>
      <c r="I21" s="26"/>
      <c r="J21" s="26"/>
      <c r="K21" s="26"/>
      <c r="L21" s="27"/>
    </row>
    <row r="22">
      <c r="A22" s="188">
        <v>0.22083333333333333</v>
      </c>
      <c r="B22" s="176"/>
      <c r="C22" s="177" t="s">
        <v>10</v>
      </c>
      <c r="D22" s="177" t="s">
        <v>422</v>
      </c>
      <c r="E22" s="176"/>
      <c r="F22" s="178"/>
      <c r="G22" s="178"/>
      <c r="H22" s="180" t="s">
        <v>423</v>
      </c>
      <c r="I22" s="26"/>
      <c r="J22" s="26"/>
      <c r="K22" s="26"/>
      <c r="L22" s="27"/>
    </row>
    <row r="23">
      <c r="A23" s="188">
        <v>0.22152777777777777</v>
      </c>
      <c r="B23" s="176"/>
      <c r="C23" s="177" t="s">
        <v>10</v>
      </c>
      <c r="D23" s="177" t="s">
        <v>424</v>
      </c>
      <c r="E23" s="176"/>
      <c r="F23" s="178"/>
      <c r="G23" s="178"/>
      <c r="H23" s="180" t="s">
        <v>425</v>
      </c>
      <c r="I23" s="26"/>
      <c r="J23" s="26"/>
      <c r="K23" s="26"/>
      <c r="L23" s="27"/>
    </row>
    <row r="24">
      <c r="A24" s="189">
        <v>0.2222222222222222</v>
      </c>
      <c r="B24" s="176"/>
      <c r="C24" s="177" t="s">
        <v>10</v>
      </c>
      <c r="D24" s="177" t="s">
        <v>426</v>
      </c>
      <c r="E24" s="176"/>
      <c r="F24" s="178"/>
      <c r="G24" s="178"/>
      <c r="H24" s="180" t="s">
        <v>427</v>
      </c>
      <c r="I24" s="26"/>
      <c r="J24" s="26"/>
      <c r="K24" s="26"/>
      <c r="L24" s="27"/>
    </row>
  </sheetData>
  <mergeCells count="27">
    <mergeCell ref="H1:L1"/>
    <mergeCell ref="N1:U1"/>
    <mergeCell ref="H2:L2"/>
    <mergeCell ref="N2:U2"/>
    <mergeCell ref="H3:L3"/>
    <mergeCell ref="H4:L4"/>
    <mergeCell ref="H5:L5"/>
    <mergeCell ref="H6:L6"/>
    <mergeCell ref="A7:B7"/>
    <mergeCell ref="H8:L8"/>
    <mergeCell ref="H9:L9"/>
    <mergeCell ref="H10:L10"/>
    <mergeCell ref="H11:L11"/>
    <mergeCell ref="A12:B12"/>
    <mergeCell ref="H19:L19"/>
    <mergeCell ref="H20:L20"/>
    <mergeCell ref="H21:L21"/>
    <mergeCell ref="H22:L22"/>
    <mergeCell ref="H23:L23"/>
    <mergeCell ref="H24:L24"/>
    <mergeCell ref="H13:L13"/>
    <mergeCell ref="H14:L14"/>
    <mergeCell ref="H15:L15"/>
    <mergeCell ref="H16:L16"/>
    <mergeCell ref="H17:L17"/>
    <mergeCell ref="A18:C18"/>
    <mergeCell ref="H18:L18"/>
  </mergeCells>
  <drawing r:id="rId1"/>
</worksheet>
</file>